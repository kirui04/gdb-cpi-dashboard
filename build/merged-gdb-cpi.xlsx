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C9BB43CF-23DD-4A44-8400-99E34F82F465}" xr6:coauthVersionLast="47" xr6:coauthVersionMax="47" xr10:uidLastSave="{00000000-0000-0000-0000-000000000000}"/>
  <bookViews>
    <workbookView xWindow="-110" yWindow="-110" windowWidth="19420" windowHeight="10420" activeTab="1" xr2:uid="{EC8BA4A9-7434-447C-B4C6-7E1C69625FD2}"/>
  </bookViews>
  <sheets>
    <sheet name="Pivot" sheetId="2" r:id="rId1"/>
    <sheet name="Sheet3" sheetId="3" r:id="rId2"/>
    <sheet name="gdb-2024" sheetId="1" r:id="rId3"/>
    <sheet name="Sheet4" sheetId="4" r:id="rId4"/>
  </sheets>
  <externalReferences>
    <externalReference r:id="rId5"/>
  </externalReferences>
  <calcPr calcId="191029" iterateDelta="1E-4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E3" i="4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6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5" i="2"/>
</calcChain>
</file>

<file path=xl/sharedStrings.xml><?xml version="1.0" encoding="utf-8"?>
<sst xmlns="http://schemas.openxmlformats.org/spreadsheetml/2006/main" count="393" uniqueCount="95">
  <si>
    <t>iso3</t>
  </si>
  <si>
    <t>country</t>
  </si>
  <si>
    <t>cluster</t>
  </si>
  <si>
    <t>action_area</t>
  </si>
  <si>
    <t>hierarchy_level</t>
  </si>
  <si>
    <t>score</t>
  </si>
  <si>
    <t>barometer_region</t>
  </si>
  <si>
    <t>AGO</t>
  </si>
  <si>
    <t>Angola</t>
  </si>
  <si>
    <t>Political Integrity</t>
  </si>
  <si>
    <t>Political Finance</t>
  </si>
  <si>
    <t>Africa</t>
  </si>
  <si>
    <t>ARG</t>
  </si>
  <si>
    <t>Argentina</t>
  </si>
  <si>
    <t>Latin America and the Caribbean</t>
  </si>
  <si>
    <t>BEN</t>
  </si>
  <si>
    <t>Benin</t>
  </si>
  <si>
    <t>BFA</t>
  </si>
  <si>
    <t>Burkina Faso</t>
  </si>
  <si>
    <t>BOL</t>
  </si>
  <si>
    <t>Bolivia (Plurinational State of)</t>
  </si>
  <si>
    <t>BRA</t>
  </si>
  <si>
    <t>Brazil</t>
  </si>
  <si>
    <t>Lobbying</t>
  </si>
  <si>
    <t>BWA</t>
  </si>
  <si>
    <t>Botswana</t>
  </si>
  <si>
    <t>CHL</t>
  </si>
  <si>
    <t>Chile</t>
  </si>
  <si>
    <t>CIV</t>
  </si>
  <si>
    <t>Cote d'Ivoire</t>
  </si>
  <si>
    <t>CMR</t>
  </si>
  <si>
    <t>Cameroon</t>
  </si>
  <si>
    <t>COL</t>
  </si>
  <si>
    <t>Colombia</t>
  </si>
  <si>
    <t>CRI</t>
  </si>
  <si>
    <t>Costa Rica</t>
  </si>
  <si>
    <t>DOM</t>
  </si>
  <si>
    <t>Dominican Republic</t>
  </si>
  <si>
    <t>ECU</t>
  </si>
  <si>
    <t>Ecuador</t>
  </si>
  <si>
    <t>GHA</t>
  </si>
  <si>
    <t>Ghana</t>
  </si>
  <si>
    <t>GTM</t>
  </si>
  <si>
    <t>Guatemala</t>
  </si>
  <si>
    <t>HND</t>
  </si>
  <si>
    <t>Honduras</t>
  </si>
  <si>
    <t>JAM</t>
  </si>
  <si>
    <t>Jamaica</t>
  </si>
  <si>
    <t>KEN</t>
  </si>
  <si>
    <t>Kenya</t>
  </si>
  <si>
    <t>LBR</t>
  </si>
  <si>
    <t>Liberia</t>
  </si>
  <si>
    <t>MAR</t>
  </si>
  <si>
    <t>Morocco</t>
  </si>
  <si>
    <t>MEX</t>
  </si>
  <si>
    <t>Mexico</t>
  </si>
  <si>
    <t>MOZ</t>
  </si>
  <si>
    <t>Mozambique</t>
  </si>
  <si>
    <t>MWI</t>
  </si>
  <si>
    <t>Malawi</t>
  </si>
  <si>
    <t>NAM</t>
  </si>
  <si>
    <t>Namibia</t>
  </si>
  <si>
    <t>NGA</t>
  </si>
  <si>
    <t>Nigeria</t>
  </si>
  <si>
    <t>PAN</t>
  </si>
  <si>
    <t>Panama</t>
  </si>
  <si>
    <t>PER</t>
  </si>
  <si>
    <t>Peru</t>
  </si>
  <si>
    <t>PRY</t>
  </si>
  <si>
    <t>Paraguay</t>
  </si>
  <si>
    <t>RWA</t>
  </si>
  <si>
    <t>Rwanda</t>
  </si>
  <si>
    <t>SLE</t>
  </si>
  <si>
    <t>Sierra Leone</t>
  </si>
  <si>
    <t>SLV</t>
  </si>
  <si>
    <t>El Salvador</t>
  </si>
  <si>
    <t>TGO</t>
  </si>
  <si>
    <t>Togo</t>
  </si>
  <si>
    <t>TUN</t>
  </si>
  <si>
    <t>Tunisia</t>
  </si>
  <si>
    <t>UGA</t>
  </si>
  <si>
    <t>Uganda</t>
  </si>
  <si>
    <t>URY</t>
  </si>
  <si>
    <t>Uruguay</t>
  </si>
  <si>
    <t>ZAF</t>
  </si>
  <si>
    <t>South Africa</t>
  </si>
  <si>
    <t>Row Labels</t>
  </si>
  <si>
    <t>Grand Total</t>
  </si>
  <si>
    <t>Column Labels</t>
  </si>
  <si>
    <t>Average of score</t>
  </si>
  <si>
    <t>Avg Integrity Score</t>
  </si>
  <si>
    <t>CPI Score 2024</t>
  </si>
  <si>
    <t>Region</t>
  </si>
  <si>
    <t>Country</t>
  </si>
  <si>
    <t>Political Finance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</si>
</sst>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pi-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pi-cleaned"/>
    </sheetNames>
    <sheetDataSet>
      <sheetData sheetId="0">
        <row r="2">
          <cell r="A2" t="str">
            <v>Afghanistan</v>
          </cell>
          <cell r="B2" t="str">
            <v>AFG</v>
          </cell>
          <cell r="C2" t="str">
            <v>AP</v>
          </cell>
          <cell r="D2">
            <v>17</v>
          </cell>
        </row>
        <row r="3">
          <cell r="A3" t="str">
            <v>Albania</v>
          </cell>
          <cell r="B3" t="str">
            <v>ALB</v>
          </cell>
          <cell r="C3" t="str">
            <v>ECA</v>
          </cell>
          <cell r="D3">
            <v>42</v>
          </cell>
        </row>
        <row r="4">
          <cell r="A4" t="str">
            <v>Algeria</v>
          </cell>
          <cell r="B4" t="str">
            <v>DZA</v>
          </cell>
          <cell r="C4" t="str">
            <v>MENA</v>
          </cell>
          <cell r="D4">
            <v>34</v>
          </cell>
        </row>
        <row r="5">
          <cell r="A5" t="str">
            <v>Angola</v>
          </cell>
          <cell r="B5" t="str">
            <v>AGO</v>
          </cell>
          <cell r="C5" t="str">
            <v>SSA</v>
          </cell>
          <cell r="D5">
            <v>32</v>
          </cell>
        </row>
        <row r="6">
          <cell r="A6" t="str">
            <v>Argentina</v>
          </cell>
          <cell r="B6" t="str">
            <v>ARG</v>
          </cell>
          <cell r="C6" t="str">
            <v>AME</v>
          </cell>
          <cell r="D6">
            <v>37</v>
          </cell>
        </row>
        <row r="7">
          <cell r="A7" t="str">
            <v>Armenia</v>
          </cell>
          <cell r="B7" t="str">
            <v>ARM</v>
          </cell>
          <cell r="C7" t="str">
            <v>ECA</v>
          </cell>
          <cell r="D7">
            <v>47</v>
          </cell>
        </row>
        <row r="8">
          <cell r="A8" t="str">
            <v>Australia</v>
          </cell>
          <cell r="B8" t="str">
            <v>AUS</v>
          </cell>
          <cell r="C8" t="str">
            <v>AP</v>
          </cell>
          <cell r="D8">
            <v>77</v>
          </cell>
        </row>
        <row r="9">
          <cell r="A9" t="str">
            <v>Austria</v>
          </cell>
          <cell r="B9" t="str">
            <v>AUT</v>
          </cell>
          <cell r="C9" t="str">
            <v>WE/EU</v>
          </cell>
          <cell r="D9">
            <v>67</v>
          </cell>
        </row>
        <row r="10">
          <cell r="A10" t="str">
            <v>Azerbaijan</v>
          </cell>
          <cell r="B10" t="str">
            <v>AZE</v>
          </cell>
          <cell r="C10" t="str">
            <v>ECA</v>
          </cell>
          <cell r="D10">
            <v>22</v>
          </cell>
        </row>
        <row r="11">
          <cell r="A11" t="str">
            <v>Bahamas</v>
          </cell>
          <cell r="B11" t="str">
            <v>BHS</v>
          </cell>
          <cell r="C11" t="str">
            <v>AME</v>
          </cell>
          <cell r="D11">
            <v>65</v>
          </cell>
        </row>
        <row r="12">
          <cell r="A12" t="str">
            <v>Bahrain</v>
          </cell>
          <cell r="B12" t="str">
            <v>BHR</v>
          </cell>
          <cell r="C12" t="str">
            <v>MENA</v>
          </cell>
          <cell r="D12">
            <v>53</v>
          </cell>
        </row>
        <row r="13">
          <cell r="A13" t="str">
            <v>Bangladesh</v>
          </cell>
          <cell r="B13" t="str">
            <v>BGD</v>
          </cell>
          <cell r="C13" t="str">
            <v>AP</v>
          </cell>
          <cell r="D13">
            <v>23</v>
          </cell>
        </row>
        <row r="14">
          <cell r="A14" t="str">
            <v>Barbados</v>
          </cell>
          <cell r="B14" t="str">
            <v>BRB</v>
          </cell>
          <cell r="C14" t="str">
            <v>AME</v>
          </cell>
          <cell r="D14">
            <v>68</v>
          </cell>
        </row>
        <row r="15">
          <cell r="A15" t="str">
            <v>Belarus</v>
          </cell>
          <cell r="B15" t="str">
            <v>BLR</v>
          </cell>
          <cell r="C15" t="str">
            <v>ECA</v>
          </cell>
          <cell r="D15">
            <v>33</v>
          </cell>
        </row>
        <row r="16">
          <cell r="A16" t="str">
            <v>Belgium</v>
          </cell>
          <cell r="B16" t="str">
            <v>BEL</v>
          </cell>
          <cell r="C16" t="str">
            <v>WE/EU</v>
          </cell>
          <cell r="D16">
            <v>69</v>
          </cell>
        </row>
        <row r="17">
          <cell r="A17" t="str">
            <v>Benin</v>
          </cell>
          <cell r="B17" t="str">
            <v>BEN</v>
          </cell>
          <cell r="C17" t="str">
            <v>SSA</v>
          </cell>
          <cell r="D17">
            <v>45</v>
          </cell>
        </row>
        <row r="18">
          <cell r="A18" t="str">
            <v>Bhutan</v>
          </cell>
          <cell r="B18" t="str">
            <v>BTN</v>
          </cell>
          <cell r="C18" t="str">
            <v>AP</v>
          </cell>
          <cell r="D18">
            <v>72</v>
          </cell>
        </row>
        <row r="19">
          <cell r="A19" t="str">
            <v>Bolivia</v>
          </cell>
          <cell r="B19" t="str">
            <v>BOL</v>
          </cell>
          <cell r="C19" t="str">
            <v>AME</v>
          </cell>
          <cell r="D19">
            <v>28</v>
          </cell>
        </row>
        <row r="20">
          <cell r="A20" t="str">
            <v>Bosnia and Herzegovina</v>
          </cell>
          <cell r="B20" t="str">
            <v>BIH</v>
          </cell>
          <cell r="C20" t="str">
            <v>ECA</v>
          </cell>
          <cell r="D20">
            <v>33</v>
          </cell>
        </row>
        <row r="21">
          <cell r="A21" t="str">
            <v>Botswana</v>
          </cell>
          <cell r="B21" t="str">
            <v>BWA</v>
          </cell>
          <cell r="C21" t="str">
            <v>SSA</v>
          </cell>
          <cell r="D21">
            <v>57</v>
          </cell>
        </row>
        <row r="22">
          <cell r="A22" t="str">
            <v>Brazil</v>
          </cell>
          <cell r="B22" t="str">
            <v>BRA</v>
          </cell>
          <cell r="C22" t="str">
            <v>AME</v>
          </cell>
          <cell r="D22">
            <v>34</v>
          </cell>
        </row>
        <row r="23">
          <cell r="A23" t="str">
            <v>Brunei Darussalam</v>
          </cell>
          <cell r="B23" t="str">
            <v>BRN</v>
          </cell>
          <cell r="C23" t="str">
            <v>AP</v>
          </cell>
          <cell r="D23"/>
        </row>
        <row r="24">
          <cell r="A24" t="str">
            <v>Bulgaria</v>
          </cell>
          <cell r="B24" t="str">
            <v>BGR</v>
          </cell>
          <cell r="C24" t="str">
            <v>WE/EU</v>
          </cell>
          <cell r="D24">
            <v>43</v>
          </cell>
        </row>
        <row r="25">
          <cell r="A25" t="str">
            <v>Burkina Faso</v>
          </cell>
          <cell r="B25" t="str">
            <v>BFA</v>
          </cell>
          <cell r="C25" t="str">
            <v>SSA</v>
          </cell>
          <cell r="D25">
            <v>41</v>
          </cell>
        </row>
        <row r="26">
          <cell r="A26" t="str">
            <v>Burundi</v>
          </cell>
          <cell r="B26" t="str">
            <v>BDI</v>
          </cell>
          <cell r="C26" t="str">
            <v>SSA</v>
          </cell>
          <cell r="D26">
            <v>17</v>
          </cell>
        </row>
        <row r="27">
          <cell r="A27" t="str">
            <v>Cabo Verde</v>
          </cell>
          <cell r="B27" t="str">
            <v>CPV</v>
          </cell>
          <cell r="C27" t="str">
            <v>SSA</v>
          </cell>
          <cell r="D27">
            <v>62</v>
          </cell>
        </row>
        <row r="28">
          <cell r="A28" t="str">
            <v>Cambodia</v>
          </cell>
          <cell r="B28" t="str">
            <v>KHM</v>
          </cell>
          <cell r="C28" t="str">
            <v>AP</v>
          </cell>
          <cell r="D28">
            <v>21</v>
          </cell>
        </row>
        <row r="29">
          <cell r="A29" t="str">
            <v>Cameroon</v>
          </cell>
          <cell r="B29" t="str">
            <v>CMR</v>
          </cell>
          <cell r="C29" t="str">
            <v>SSA</v>
          </cell>
          <cell r="D29">
            <v>26</v>
          </cell>
        </row>
        <row r="30">
          <cell r="A30" t="str">
            <v>Canada</v>
          </cell>
          <cell r="B30" t="str">
            <v>CAN</v>
          </cell>
          <cell r="C30" t="str">
            <v>AME</v>
          </cell>
          <cell r="D30">
            <v>75</v>
          </cell>
        </row>
        <row r="31">
          <cell r="A31" t="str">
            <v>Central African Republic</v>
          </cell>
          <cell r="B31" t="str">
            <v>CAF</v>
          </cell>
          <cell r="C31" t="str">
            <v>SSA</v>
          </cell>
          <cell r="D31">
            <v>24</v>
          </cell>
        </row>
        <row r="32">
          <cell r="A32" t="str">
            <v>Chad</v>
          </cell>
          <cell r="B32" t="str">
            <v>TCD</v>
          </cell>
          <cell r="C32" t="str">
            <v>SSA</v>
          </cell>
          <cell r="D32">
            <v>21</v>
          </cell>
        </row>
        <row r="33">
          <cell r="A33" t="str">
            <v>Chile</v>
          </cell>
          <cell r="B33" t="str">
            <v>CHL</v>
          </cell>
          <cell r="C33" t="str">
            <v>AME</v>
          </cell>
          <cell r="D33">
            <v>63</v>
          </cell>
        </row>
        <row r="34">
          <cell r="A34" t="str">
            <v>China</v>
          </cell>
          <cell r="B34" t="str">
            <v>CHN</v>
          </cell>
          <cell r="C34" t="str">
            <v>AP</v>
          </cell>
          <cell r="D34">
            <v>43</v>
          </cell>
        </row>
        <row r="35">
          <cell r="A35" t="str">
            <v>Colombia</v>
          </cell>
          <cell r="B35" t="str">
            <v>COL</v>
          </cell>
          <cell r="C35" t="str">
            <v>AME</v>
          </cell>
          <cell r="D35">
            <v>39</v>
          </cell>
        </row>
        <row r="36">
          <cell r="A36" t="str">
            <v>Comoros</v>
          </cell>
          <cell r="B36" t="str">
            <v>COM</v>
          </cell>
          <cell r="C36" t="str">
            <v>SSA</v>
          </cell>
          <cell r="D36">
            <v>21</v>
          </cell>
        </row>
        <row r="37">
          <cell r="A37" t="str">
            <v>Congo</v>
          </cell>
          <cell r="B37" t="str">
            <v>COG</v>
          </cell>
          <cell r="C37" t="str">
            <v>SSA</v>
          </cell>
          <cell r="D37">
            <v>23</v>
          </cell>
        </row>
        <row r="38">
          <cell r="A38" t="str">
            <v>Costa Rica</v>
          </cell>
          <cell r="B38" t="str">
            <v>CRI</v>
          </cell>
          <cell r="C38" t="str">
            <v>AME</v>
          </cell>
          <cell r="D38">
            <v>58</v>
          </cell>
        </row>
        <row r="39">
          <cell r="A39" t="str">
            <v>Cote d'Ivoire</v>
          </cell>
          <cell r="B39" t="str">
            <v>CIV</v>
          </cell>
          <cell r="C39" t="str">
            <v>SSA</v>
          </cell>
          <cell r="D39">
            <v>45</v>
          </cell>
        </row>
        <row r="40">
          <cell r="A40" t="str">
            <v>Croatia</v>
          </cell>
          <cell r="B40" t="str">
            <v>HRV</v>
          </cell>
          <cell r="C40" t="str">
            <v>WE/EU</v>
          </cell>
          <cell r="D40">
            <v>47</v>
          </cell>
        </row>
        <row r="41">
          <cell r="A41" t="str">
            <v>Cuba</v>
          </cell>
          <cell r="B41" t="str">
            <v>CUB</v>
          </cell>
          <cell r="C41" t="str">
            <v>AME</v>
          </cell>
          <cell r="D41">
            <v>41</v>
          </cell>
        </row>
        <row r="42">
          <cell r="A42" t="str">
            <v>Cyprus</v>
          </cell>
          <cell r="B42" t="str">
            <v>CYP</v>
          </cell>
          <cell r="C42" t="str">
            <v>WE/EU</v>
          </cell>
          <cell r="D42">
            <v>56</v>
          </cell>
        </row>
        <row r="43">
          <cell r="A43" t="str">
            <v>Czechia</v>
          </cell>
          <cell r="B43" t="str">
            <v>CZE</v>
          </cell>
          <cell r="C43" t="str">
            <v>WE/EU</v>
          </cell>
          <cell r="D43">
            <v>56</v>
          </cell>
        </row>
        <row r="44">
          <cell r="A44" t="str">
            <v>Democratic Republic of the Congo</v>
          </cell>
          <cell r="B44" t="str">
            <v>COD</v>
          </cell>
          <cell r="C44" t="str">
            <v>SSA</v>
          </cell>
          <cell r="D44">
            <v>20</v>
          </cell>
        </row>
        <row r="45">
          <cell r="A45" t="str">
            <v>Denmark</v>
          </cell>
          <cell r="B45" t="str">
            <v>DNK</v>
          </cell>
          <cell r="C45" t="str">
            <v>WE/EU</v>
          </cell>
          <cell r="D45">
            <v>90</v>
          </cell>
        </row>
        <row r="46">
          <cell r="A46" t="str">
            <v>Djibouti</v>
          </cell>
          <cell r="B46" t="str">
            <v>DJI</v>
          </cell>
          <cell r="C46" t="str">
            <v>SSA</v>
          </cell>
          <cell r="D46">
            <v>31</v>
          </cell>
        </row>
        <row r="47">
          <cell r="A47" t="str">
            <v>Dominica</v>
          </cell>
          <cell r="B47" t="str">
            <v>DMA</v>
          </cell>
          <cell r="C47" t="str">
            <v>AME</v>
          </cell>
          <cell r="D47">
            <v>60</v>
          </cell>
        </row>
        <row r="48">
          <cell r="A48" t="str">
            <v>Dominican Republic</v>
          </cell>
          <cell r="B48" t="str">
            <v>DOM</v>
          </cell>
          <cell r="C48" t="str">
            <v>AME</v>
          </cell>
          <cell r="D48">
            <v>36</v>
          </cell>
        </row>
        <row r="49">
          <cell r="A49" t="str">
            <v>Ecuador</v>
          </cell>
          <cell r="B49" t="str">
            <v>ECU</v>
          </cell>
          <cell r="C49" t="str">
            <v>AME</v>
          </cell>
          <cell r="D49">
            <v>32</v>
          </cell>
        </row>
        <row r="50">
          <cell r="A50" t="str">
            <v>Egypt</v>
          </cell>
          <cell r="B50" t="str">
            <v>EGY</v>
          </cell>
          <cell r="C50" t="str">
            <v>MENA</v>
          </cell>
          <cell r="D50">
            <v>30</v>
          </cell>
        </row>
        <row r="51">
          <cell r="A51" t="str">
            <v>El Salvador</v>
          </cell>
          <cell r="B51" t="str">
            <v>SLV</v>
          </cell>
          <cell r="C51" t="str">
            <v>AME</v>
          </cell>
          <cell r="D51">
            <v>30</v>
          </cell>
        </row>
        <row r="52">
          <cell r="A52" t="str">
            <v>Equatorial Guinea</v>
          </cell>
          <cell r="B52" t="str">
            <v>GNQ</v>
          </cell>
          <cell r="C52" t="str">
            <v>SSA</v>
          </cell>
          <cell r="D52">
            <v>13</v>
          </cell>
        </row>
        <row r="53">
          <cell r="A53" t="str">
            <v>Eritrea</v>
          </cell>
          <cell r="B53" t="str">
            <v>ERI</v>
          </cell>
          <cell r="C53" t="str">
            <v>SSA</v>
          </cell>
          <cell r="D53">
            <v>13</v>
          </cell>
        </row>
        <row r="54">
          <cell r="A54" t="str">
            <v>Estonia</v>
          </cell>
          <cell r="B54" t="str">
            <v>EST</v>
          </cell>
          <cell r="C54" t="str">
            <v>WE/EU</v>
          </cell>
          <cell r="D54">
            <v>76</v>
          </cell>
        </row>
        <row r="55">
          <cell r="A55" t="str">
            <v>Eswatini</v>
          </cell>
          <cell r="B55" t="str">
            <v>SWZ</v>
          </cell>
          <cell r="C55" t="str">
            <v>SSA</v>
          </cell>
          <cell r="D55">
            <v>27</v>
          </cell>
        </row>
        <row r="56">
          <cell r="A56" t="str">
            <v>Ethiopia</v>
          </cell>
          <cell r="B56" t="str">
            <v>ETH</v>
          </cell>
          <cell r="C56" t="str">
            <v>SSA</v>
          </cell>
          <cell r="D56">
            <v>37</v>
          </cell>
        </row>
        <row r="57">
          <cell r="A57" t="str">
            <v>Fiji</v>
          </cell>
          <cell r="B57" t="str">
            <v>FJI</v>
          </cell>
          <cell r="C57" t="str">
            <v>AP</v>
          </cell>
          <cell r="D57">
            <v>55</v>
          </cell>
        </row>
        <row r="58">
          <cell r="A58" t="str">
            <v>Finland</v>
          </cell>
          <cell r="B58" t="str">
            <v>FIN</v>
          </cell>
          <cell r="C58" t="str">
            <v>WE/EU</v>
          </cell>
          <cell r="D58">
            <v>88</v>
          </cell>
        </row>
        <row r="59">
          <cell r="A59" t="str">
            <v>France</v>
          </cell>
          <cell r="B59" t="str">
            <v>FRA</v>
          </cell>
          <cell r="C59" t="str">
            <v>WE/EU</v>
          </cell>
          <cell r="D59">
            <v>67</v>
          </cell>
        </row>
        <row r="60">
          <cell r="A60" t="str">
            <v>Gabon</v>
          </cell>
          <cell r="B60" t="str">
            <v>GAB</v>
          </cell>
          <cell r="C60" t="str">
            <v>SSA</v>
          </cell>
          <cell r="D60">
            <v>27</v>
          </cell>
        </row>
        <row r="61">
          <cell r="A61" t="str">
            <v>Gambia</v>
          </cell>
          <cell r="B61" t="str">
            <v>GMB</v>
          </cell>
          <cell r="C61" t="str">
            <v>SSA</v>
          </cell>
          <cell r="D61">
            <v>38</v>
          </cell>
        </row>
        <row r="62">
          <cell r="A62" t="str">
            <v>Georgia</v>
          </cell>
          <cell r="B62" t="str">
            <v>GEO</v>
          </cell>
          <cell r="C62" t="str">
            <v>ECA</v>
          </cell>
          <cell r="D62">
            <v>53</v>
          </cell>
        </row>
        <row r="63">
          <cell r="A63" t="str">
            <v>Germany</v>
          </cell>
          <cell r="B63" t="str">
            <v>DEU</v>
          </cell>
          <cell r="C63" t="str">
            <v>WE/EU</v>
          </cell>
          <cell r="D63">
            <v>75</v>
          </cell>
        </row>
        <row r="64">
          <cell r="A64" t="str">
            <v>Ghana</v>
          </cell>
          <cell r="B64" t="str">
            <v>GHA</v>
          </cell>
          <cell r="C64" t="str">
            <v>SSA</v>
          </cell>
          <cell r="D64">
            <v>42</v>
          </cell>
        </row>
        <row r="65">
          <cell r="A65" t="str">
            <v>Greece</v>
          </cell>
          <cell r="B65" t="str">
            <v>GRC</v>
          </cell>
          <cell r="C65" t="str">
            <v>WE/EU</v>
          </cell>
          <cell r="D65">
            <v>49</v>
          </cell>
        </row>
        <row r="66">
          <cell r="A66" t="str">
            <v>Grenada</v>
          </cell>
          <cell r="B66" t="str">
            <v>GRD</v>
          </cell>
          <cell r="C66" t="str">
            <v>AME</v>
          </cell>
          <cell r="D66">
            <v>56</v>
          </cell>
        </row>
        <row r="67">
          <cell r="A67" t="str">
            <v>Guatemala</v>
          </cell>
          <cell r="B67" t="str">
            <v>GTM</v>
          </cell>
          <cell r="C67" t="str">
            <v>AME</v>
          </cell>
          <cell r="D67">
            <v>25</v>
          </cell>
        </row>
        <row r="68">
          <cell r="A68" t="str">
            <v>Guinea</v>
          </cell>
          <cell r="B68" t="str">
            <v>GIN</v>
          </cell>
          <cell r="C68" t="str">
            <v>SSA</v>
          </cell>
          <cell r="D68">
            <v>28</v>
          </cell>
        </row>
        <row r="69">
          <cell r="A69" t="str">
            <v>Guinea Bissau</v>
          </cell>
          <cell r="B69" t="str">
            <v>GNB</v>
          </cell>
          <cell r="C69" t="str">
            <v>SSA</v>
          </cell>
          <cell r="D69">
            <v>21</v>
          </cell>
        </row>
        <row r="70">
          <cell r="A70" t="str">
            <v>Guyana</v>
          </cell>
          <cell r="B70" t="str">
            <v>GUY</v>
          </cell>
          <cell r="C70" t="str">
            <v>AME</v>
          </cell>
          <cell r="D70">
            <v>39</v>
          </cell>
        </row>
        <row r="71">
          <cell r="A71" t="str">
            <v>Haiti</v>
          </cell>
          <cell r="B71" t="str">
            <v>HTI</v>
          </cell>
          <cell r="C71" t="str">
            <v>AME</v>
          </cell>
          <cell r="D71">
            <v>16</v>
          </cell>
        </row>
        <row r="72">
          <cell r="A72" t="str">
            <v>Honduras</v>
          </cell>
          <cell r="B72" t="str">
            <v>HND</v>
          </cell>
          <cell r="C72" t="str">
            <v>AME</v>
          </cell>
          <cell r="D72">
            <v>22</v>
          </cell>
        </row>
        <row r="73">
          <cell r="A73" t="str">
            <v>Hong Kong</v>
          </cell>
          <cell r="B73" t="str">
            <v>HKG</v>
          </cell>
          <cell r="C73" t="str">
            <v>AP</v>
          </cell>
          <cell r="D73">
            <v>74</v>
          </cell>
        </row>
        <row r="74">
          <cell r="A74" t="str">
            <v>Hungary</v>
          </cell>
          <cell r="B74" t="str">
            <v>HUN</v>
          </cell>
          <cell r="C74" t="str">
            <v>WE/EU</v>
          </cell>
          <cell r="D74">
            <v>41</v>
          </cell>
        </row>
        <row r="75">
          <cell r="A75" t="str">
            <v>Iceland</v>
          </cell>
          <cell r="B75" t="str">
            <v>ISL</v>
          </cell>
          <cell r="C75" t="str">
            <v>WE/EU</v>
          </cell>
          <cell r="D75">
            <v>77</v>
          </cell>
        </row>
        <row r="76">
          <cell r="A76" t="str">
            <v>India</v>
          </cell>
          <cell r="B76" t="str">
            <v>IND</v>
          </cell>
          <cell r="C76" t="str">
            <v>AP</v>
          </cell>
          <cell r="D76">
            <v>38</v>
          </cell>
        </row>
        <row r="77">
          <cell r="A77" t="str">
            <v>Indonesia</v>
          </cell>
          <cell r="B77" t="str">
            <v>IDN</v>
          </cell>
          <cell r="C77" t="str">
            <v>AP</v>
          </cell>
          <cell r="D77">
            <v>37</v>
          </cell>
        </row>
        <row r="78">
          <cell r="A78" t="str">
            <v>Iran</v>
          </cell>
          <cell r="B78" t="str">
            <v>IRN</v>
          </cell>
          <cell r="C78" t="str">
            <v>MENA</v>
          </cell>
          <cell r="D78">
            <v>23</v>
          </cell>
        </row>
        <row r="79">
          <cell r="A79" t="str">
            <v>Iraq</v>
          </cell>
          <cell r="B79" t="str">
            <v>IRQ</v>
          </cell>
          <cell r="C79" t="str">
            <v>MENA</v>
          </cell>
          <cell r="D79">
            <v>26</v>
          </cell>
        </row>
        <row r="80">
          <cell r="A80" t="str">
            <v>Ireland</v>
          </cell>
          <cell r="B80" t="str">
            <v>IRL</v>
          </cell>
          <cell r="C80" t="str">
            <v>WE/EU</v>
          </cell>
          <cell r="D80">
            <v>77</v>
          </cell>
        </row>
        <row r="81">
          <cell r="A81" t="str">
            <v>Israel</v>
          </cell>
          <cell r="B81" t="str">
            <v>ISR</v>
          </cell>
          <cell r="C81" t="str">
            <v>MENA</v>
          </cell>
          <cell r="D81">
            <v>64</v>
          </cell>
        </row>
        <row r="82">
          <cell r="A82" t="str">
            <v>Italy</v>
          </cell>
          <cell r="B82" t="str">
            <v>ITA</v>
          </cell>
          <cell r="C82" t="str">
            <v>WE/EU</v>
          </cell>
          <cell r="D82">
            <v>54</v>
          </cell>
        </row>
        <row r="83">
          <cell r="A83" t="str">
            <v>Jamaica</v>
          </cell>
          <cell r="B83" t="str">
            <v>JAM</v>
          </cell>
          <cell r="C83" t="str">
            <v>AME</v>
          </cell>
          <cell r="D83">
            <v>44</v>
          </cell>
        </row>
        <row r="84">
          <cell r="A84" t="str">
            <v>Japan</v>
          </cell>
          <cell r="B84" t="str">
            <v>JPN</v>
          </cell>
          <cell r="C84" t="str">
            <v>AP</v>
          </cell>
          <cell r="D84">
            <v>71</v>
          </cell>
        </row>
        <row r="85">
          <cell r="A85" t="str">
            <v>Jordan</v>
          </cell>
          <cell r="B85" t="str">
            <v>JOR</v>
          </cell>
          <cell r="C85" t="str">
            <v>MENA</v>
          </cell>
          <cell r="D85">
            <v>49</v>
          </cell>
        </row>
        <row r="86">
          <cell r="A86" t="str">
            <v>Kazakhstan</v>
          </cell>
          <cell r="B86" t="str">
            <v>KAZ</v>
          </cell>
          <cell r="C86" t="str">
            <v>ECA</v>
          </cell>
          <cell r="D86">
            <v>40</v>
          </cell>
        </row>
        <row r="87">
          <cell r="A87" t="str">
            <v>Kenya</v>
          </cell>
          <cell r="B87" t="str">
            <v>KEN</v>
          </cell>
          <cell r="C87" t="str">
            <v>SSA</v>
          </cell>
          <cell r="D87">
            <v>32</v>
          </cell>
        </row>
        <row r="88">
          <cell r="A88" t="str">
            <v>Korea, North</v>
          </cell>
          <cell r="B88" t="str">
            <v>PRK</v>
          </cell>
          <cell r="C88" t="str">
            <v>AP</v>
          </cell>
          <cell r="D88">
            <v>15</v>
          </cell>
        </row>
        <row r="89">
          <cell r="A89" t="str">
            <v>Korea, South</v>
          </cell>
          <cell r="B89" t="str">
            <v>KOR</v>
          </cell>
          <cell r="C89" t="str">
            <v>AP</v>
          </cell>
          <cell r="D89">
            <v>64</v>
          </cell>
        </row>
        <row r="90">
          <cell r="A90" t="str">
            <v>Kosovo</v>
          </cell>
          <cell r="B90" t="str">
            <v>KSV</v>
          </cell>
          <cell r="C90" t="str">
            <v>ECA</v>
          </cell>
          <cell r="D90">
            <v>44</v>
          </cell>
        </row>
        <row r="91">
          <cell r="A91" t="str">
            <v>Kuwait</v>
          </cell>
          <cell r="B91" t="str">
            <v>KWT</v>
          </cell>
          <cell r="C91" t="str">
            <v>MENA</v>
          </cell>
          <cell r="D91">
            <v>46</v>
          </cell>
        </row>
        <row r="92">
          <cell r="A92" t="str">
            <v>Kyrgyzstan</v>
          </cell>
          <cell r="B92" t="str">
            <v>KGZ</v>
          </cell>
          <cell r="C92" t="str">
            <v>ECA</v>
          </cell>
          <cell r="D92">
            <v>25</v>
          </cell>
        </row>
        <row r="93">
          <cell r="A93" t="str">
            <v>Laos</v>
          </cell>
          <cell r="B93" t="str">
            <v>LAO</v>
          </cell>
          <cell r="C93" t="str">
            <v>AP</v>
          </cell>
          <cell r="D93">
            <v>33</v>
          </cell>
        </row>
        <row r="94">
          <cell r="A94" t="str">
            <v>Latvia</v>
          </cell>
          <cell r="B94" t="str">
            <v>LVA</v>
          </cell>
          <cell r="C94" t="str">
            <v>WE/EU</v>
          </cell>
          <cell r="D94">
            <v>59</v>
          </cell>
        </row>
        <row r="95">
          <cell r="A95" t="str">
            <v>Lebanon</v>
          </cell>
          <cell r="B95" t="str">
            <v>LBN</v>
          </cell>
          <cell r="C95" t="str">
            <v>MENA</v>
          </cell>
          <cell r="D95">
            <v>22</v>
          </cell>
        </row>
        <row r="96">
          <cell r="A96" t="str">
            <v>Lesotho</v>
          </cell>
          <cell r="B96" t="str">
            <v>LSO</v>
          </cell>
          <cell r="C96" t="str">
            <v>SSA</v>
          </cell>
          <cell r="D96">
            <v>37</v>
          </cell>
        </row>
        <row r="97">
          <cell r="A97" t="str">
            <v>Liberia</v>
          </cell>
          <cell r="B97" t="str">
            <v>LBR</v>
          </cell>
          <cell r="C97" t="str">
            <v>SSA</v>
          </cell>
          <cell r="D97">
            <v>27</v>
          </cell>
        </row>
        <row r="98">
          <cell r="A98" t="str">
            <v>Libya</v>
          </cell>
          <cell r="B98" t="str">
            <v>LBY</v>
          </cell>
          <cell r="C98" t="str">
            <v>MENA</v>
          </cell>
          <cell r="D98">
            <v>13</v>
          </cell>
        </row>
        <row r="99">
          <cell r="A99" t="str">
            <v>Lithuania</v>
          </cell>
          <cell r="B99" t="str">
            <v>LTU</v>
          </cell>
          <cell r="C99" t="str">
            <v>WE/EU</v>
          </cell>
          <cell r="D99">
            <v>63</v>
          </cell>
        </row>
        <row r="100">
          <cell r="A100" t="str">
            <v>Luxembourg</v>
          </cell>
          <cell r="B100" t="str">
            <v>LUX</v>
          </cell>
          <cell r="C100" t="str">
            <v>WE/EU</v>
          </cell>
          <cell r="D100">
            <v>81</v>
          </cell>
        </row>
        <row r="101">
          <cell r="A101" t="str">
            <v>Madagascar</v>
          </cell>
          <cell r="B101" t="str">
            <v>MDG</v>
          </cell>
          <cell r="C101" t="str">
            <v>SSA</v>
          </cell>
          <cell r="D101">
            <v>26</v>
          </cell>
        </row>
        <row r="102">
          <cell r="A102" t="str">
            <v>Malawi</v>
          </cell>
          <cell r="B102" t="str">
            <v>MWI</v>
          </cell>
          <cell r="C102" t="str">
            <v>SSA</v>
          </cell>
          <cell r="D102">
            <v>34</v>
          </cell>
        </row>
        <row r="103">
          <cell r="A103" t="str">
            <v>Malaysia</v>
          </cell>
          <cell r="B103" t="str">
            <v>MYS</v>
          </cell>
          <cell r="C103" t="str">
            <v>AP</v>
          </cell>
          <cell r="D103">
            <v>50</v>
          </cell>
        </row>
        <row r="104">
          <cell r="A104" t="str">
            <v>Maldives</v>
          </cell>
          <cell r="B104" t="str">
            <v>MDV</v>
          </cell>
          <cell r="C104" t="str">
            <v>AP</v>
          </cell>
          <cell r="D104">
            <v>38</v>
          </cell>
        </row>
        <row r="105">
          <cell r="A105" t="str">
            <v>Mali</v>
          </cell>
          <cell r="B105" t="str">
            <v>MLI</v>
          </cell>
          <cell r="C105" t="str">
            <v>SSA</v>
          </cell>
          <cell r="D105">
            <v>27</v>
          </cell>
        </row>
        <row r="106">
          <cell r="A106" t="str">
            <v>Malta</v>
          </cell>
          <cell r="B106" t="str">
            <v>MLT</v>
          </cell>
          <cell r="C106" t="str">
            <v>WE/EU</v>
          </cell>
          <cell r="D106">
            <v>46</v>
          </cell>
        </row>
        <row r="107">
          <cell r="A107" t="str">
            <v>Mauritania</v>
          </cell>
          <cell r="B107" t="str">
            <v>MRT</v>
          </cell>
          <cell r="C107" t="str">
            <v>SSA</v>
          </cell>
          <cell r="D107">
            <v>30</v>
          </cell>
        </row>
        <row r="108">
          <cell r="A108" t="str">
            <v>Mauritius</v>
          </cell>
          <cell r="B108" t="str">
            <v>MUS</v>
          </cell>
          <cell r="C108" t="str">
            <v>SSA</v>
          </cell>
          <cell r="D108">
            <v>51</v>
          </cell>
        </row>
        <row r="109">
          <cell r="A109" t="str">
            <v>Mexico</v>
          </cell>
          <cell r="B109" t="str">
            <v>MEX</v>
          </cell>
          <cell r="C109" t="str">
            <v>AME</v>
          </cell>
          <cell r="D109">
            <v>26</v>
          </cell>
        </row>
        <row r="110">
          <cell r="A110" t="str">
            <v>Moldova</v>
          </cell>
          <cell r="B110" t="str">
            <v>MDA</v>
          </cell>
          <cell r="C110" t="str">
            <v>ECA</v>
          </cell>
          <cell r="D110">
            <v>43</v>
          </cell>
        </row>
        <row r="111">
          <cell r="A111" t="str">
            <v>Mongolia</v>
          </cell>
          <cell r="B111" t="str">
            <v>MNG</v>
          </cell>
          <cell r="C111" t="str">
            <v>AP</v>
          </cell>
          <cell r="D111">
            <v>33</v>
          </cell>
        </row>
        <row r="112">
          <cell r="A112" t="str">
            <v>Montenegro</v>
          </cell>
          <cell r="B112" t="str">
            <v>MNE</v>
          </cell>
          <cell r="C112" t="str">
            <v>ECA</v>
          </cell>
          <cell r="D112">
            <v>46</v>
          </cell>
        </row>
        <row r="113">
          <cell r="A113" t="str">
            <v>Morocco</v>
          </cell>
          <cell r="B113" t="str">
            <v>MAR</v>
          </cell>
          <cell r="C113" t="str">
            <v>MENA</v>
          </cell>
          <cell r="D113">
            <v>37</v>
          </cell>
        </row>
        <row r="114">
          <cell r="A114" t="str">
            <v>Mozambique</v>
          </cell>
          <cell r="B114" t="str">
            <v>MOZ</v>
          </cell>
          <cell r="C114" t="str">
            <v>SSA</v>
          </cell>
          <cell r="D114">
            <v>25</v>
          </cell>
        </row>
        <row r="115">
          <cell r="A115" t="str">
            <v>Myanmar</v>
          </cell>
          <cell r="B115" t="str">
            <v>MMR</v>
          </cell>
          <cell r="C115" t="str">
            <v>AP</v>
          </cell>
          <cell r="D115">
            <v>16</v>
          </cell>
        </row>
        <row r="116">
          <cell r="A116" t="str">
            <v>Namibia</v>
          </cell>
          <cell r="B116" t="str">
            <v>NAM</v>
          </cell>
          <cell r="C116" t="str">
            <v>SSA</v>
          </cell>
          <cell r="D116">
            <v>49</v>
          </cell>
        </row>
        <row r="117">
          <cell r="A117" t="str">
            <v>Nepal</v>
          </cell>
          <cell r="B117" t="str">
            <v>NPL</v>
          </cell>
          <cell r="C117" t="str">
            <v>AP</v>
          </cell>
          <cell r="D117">
            <v>34</v>
          </cell>
        </row>
        <row r="118">
          <cell r="A118" t="str">
            <v>Netherlands</v>
          </cell>
          <cell r="B118" t="str">
            <v>NLD</v>
          </cell>
          <cell r="C118" t="str">
            <v>WE/EU</v>
          </cell>
          <cell r="D118">
            <v>78</v>
          </cell>
        </row>
        <row r="119">
          <cell r="A119" t="str">
            <v>New Zealand</v>
          </cell>
          <cell r="B119" t="str">
            <v>NZL</v>
          </cell>
          <cell r="C119" t="str">
            <v>AP</v>
          </cell>
          <cell r="D119">
            <v>83</v>
          </cell>
        </row>
        <row r="120">
          <cell r="A120" t="str">
            <v>Nicaragua</v>
          </cell>
          <cell r="B120" t="str">
            <v>NIC</v>
          </cell>
          <cell r="C120" t="str">
            <v>AME</v>
          </cell>
          <cell r="D120">
            <v>14</v>
          </cell>
        </row>
        <row r="121">
          <cell r="A121" t="str">
            <v>Niger</v>
          </cell>
          <cell r="B121" t="str">
            <v>NER</v>
          </cell>
          <cell r="C121" t="str">
            <v>SSA</v>
          </cell>
          <cell r="D121">
            <v>34</v>
          </cell>
        </row>
        <row r="122">
          <cell r="A122" t="str">
            <v>Nigeria</v>
          </cell>
          <cell r="B122" t="str">
            <v>NGA</v>
          </cell>
          <cell r="C122" t="str">
            <v>SSA</v>
          </cell>
          <cell r="D122">
            <v>26</v>
          </cell>
        </row>
        <row r="123">
          <cell r="A123" t="str">
            <v>North Macedonia</v>
          </cell>
          <cell r="B123" t="str">
            <v>MKD</v>
          </cell>
          <cell r="C123" t="str">
            <v>ECA</v>
          </cell>
          <cell r="D123">
            <v>40</v>
          </cell>
        </row>
        <row r="124">
          <cell r="A124" t="str">
            <v>Norway</v>
          </cell>
          <cell r="B124" t="str">
            <v>NOR</v>
          </cell>
          <cell r="C124" t="str">
            <v>WE/EU</v>
          </cell>
          <cell r="D124">
            <v>81</v>
          </cell>
        </row>
        <row r="125">
          <cell r="A125" t="str">
            <v>Oman</v>
          </cell>
          <cell r="B125" t="str">
            <v>OMN</v>
          </cell>
          <cell r="C125" t="str">
            <v>MENA</v>
          </cell>
          <cell r="D125">
            <v>55</v>
          </cell>
        </row>
        <row r="126">
          <cell r="A126" t="str">
            <v>Pakistan</v>
          </cell>
          <cell r="B126" t="str">
            <v>PAK</v>
          </cell>
          <cell r="C126" t="str">
            <v>AP</v>
          </cell>
          <cell r="D126">
            <v>27</v>
          </cell>
        </row>
        <row r="127">
          <cell r="A127" t="str">
            <v>Panama</v>
          </cell>
          <cell r="B127" t="str">
            <v>PAN</v>
          </cell>
          <cell r="C127" t="str">
            <v>AME</v>
          </cell>
          <cell r="D127">
            <v>33</v>
          </cell>
        </row>
        <row r="128">
          <cell r="A128" t="str">
            <v>Papua New Guinea</v>
          </cell>
          <cell r="B128" t="str">
            <v>PNG</v>
          </cell>
          <cell r="C128" t="str">
            <v>AP</v>
          </cell>
          <cell r="D128">
            <v>31</v>
          </cell>
        </row>
        <row r="129">
          <cell r="A129" t="str">
            <v>Paraguay</v>
          </cell>
          <cell r="B129" t="str">
            <v>PRY</v>
          </cell>
          <cell r="C129" t="str">
            <v>AME</v>
          </cell>
          <cell r="D129">
            <v>24</v>
          </cell>
        </row>
        <row r="130">
          <cell r="A130" t="str">
            <v>Peru</v>
          </cell>
          <cell r="B130" t="str">
            <v>PER</v>
          </cell>
          <cell r="C130" t="str">
            <v>AME</v>
          </cell>
          <cell r="D130">
            <v>31</v>
          </cell>
        </row>
        <row r="131">
          <cell r="A131" t="str">
            <v>Philippines</v>
          </cell>
          <cell r="B131" t="str">
            <v>PHL</v>
          </cell>
          <cell r="C131" t="str">
            <v>AP</v>
          </cell>
          <cell r="D131">
            <v>33</v>
          </cell>
        </row>
        <row r="132">
          <cell r="A132" t="str">
            <v>Poland</v>
          </cell>
          <cell r="B132" t="str">
            <v>POL</v>
          </cell>
          <cell r="C132" t="str">
            <v>WE/EU</v>
          </cell>
          <cell r="D132">
            <v>53</v>
          </cell>
        </row>
        <row r="133">
          <cell r="A133" t="str">
            <v>Portugal</v>
          </cell>
          <cell r="B133" t="str">
            <v>PRT</v>
          </cell>
          <cell r="C133" t="str">
            <v>WE/EU</v>
          </cell>
          <cell r="D133">
            <v>57</v>
          </cell>
        </row>
        <row r="134">
          <cell r="A134" t="str">
            <v>Qatar</v>
          </cell>
          <cell r="B134" t="str">
            <v>QAT</v>
          </cell>
          <cell r="C134" t="str">
            <v>MENA</v>
          </cell>
          <cell r="D134">
            <v>59</v>
          </cell>
        </row>
        <row r="135">
          <cell r="A135" t="str">
            <v>Romania</v>
          </cell>
          <cell r="B135" t="str">
            <v>ROU</v>
          </cell>
          <cell r="C135" t="str">
            <v>WE/EU</v>
          </cell>
          <cell r="D135">
            <v>46</v>
          </cell>
        </row>
        <row r="136">
          <cell r="A136" t="str">
            <v>Russia</v>
          </cell>
          <cell r="B136" t="str">
            <v>RUS</v>
          </cell>
          <cell r="C136" t="str">
            <v>ECA</v>
          </cell>
          <cell r="D136">
            <v>22</v>
          </cell>
        </row>
        <row r="137">
          <cell r="A137" t="str">
            <v>Rwanda</v>
          </cell>
          <cell r="B137" t="str">
            <v>RWA</v>
          </cell>
          <cell r="C137" t="str">
            <v>SSA</v>
          </cell>
          <cell r="D137">
            <v>57</v>
          </cell>
        </row>
        <row r="138">
          <cell r="A138" t="str">
            <v>Saint Lucia</v>
          </cell>
          <cell r="B138" t="str">
            <v>LCA</v>
          </cell>
          <cell r="C138" t="str">
            <v>AME</v>
          </cell>
          <cell r="D138">
            <v>59</v>
          </cell>
        </row>
        <row r="139">
          <cell r="A139" t="str">
            <v>Saint Vincent and the Grenadines</v>
          </cell>
          <cell r="B139" t="str">
            <v>VCT</v>
          </cell>
          <cell r="C139" t="str">
            <v>AME</v>
          </cell>
          <cell r="D139">
            <v>63</v>
          </cell>
        </row>
        <row r="140">
          <cell r="A140" t="str">
            <v>Sao Tome and Principe</v>
          </cell>
          <cell r="B140" t="str">
            <v>STP</v>
          </cell>
          <cell r="C140" t="str">
            <v>SSA</v>
          </cell>
          <cell r="D140">
            <v>45</v>
          </cell>
        </row>
        <row r="141">
          <cell r="A141" t="str">
            <v>Saudi Arabia</v>
          </cell>
          <cell r="B141" t="str">
            <v>SAU</v>
          </cell>
          <cell r="C141" t="str">
            <v>MENA</v>
          </cell>
          <cell r="D141">
            <v>59</v>
          </cell>
        </row>
        <row r="142">
          <cell r="A142" t="str">
            <v>Senegal</v>
          </cell>
          <cell r="B142" t="str">
            <v>SEN</v>
          </cell>
          <cell r="C142" t="str">
            <v>SSA</v>
          </cell>
          <cell r="D142">
            <v>45</v>
          </cell>
        </row>
        <row r="143">
          <cell r="A143" t="str">
            <v>Serbia</v>
          </cell>
          <cell r="B143" t="str">
            <v>SRB</v>
          </cell>
          <cell r="C143" t="str">
            <v>ECA</v>
          </cell>
          <cell r="D143">
            <v>35</v>
          </cell>
        </row>
        <row r="144">
          <cell r="A144" t="str">
            <v>Seychelles</v>
          </cell>
          <cell r="B144" t="str">
            <v>SYC</v>
          </cell>
          <cell r="C144" t="str">
            <v>SSA</v>
          </cell>
          <cell r="D144">
            <v>72</v>
          </cell>
        </row>
        <row r="145">
          <cell r="A145" t="str">
            <v>Sierra Leone</v>
          </cell>
          <cell r="B145" t="str">
            <v>SLE</v>
          </cell>
          <cell r="C145" t="str">
            <v>SSA</v>
          </cell>
          <cell r="D145">
            <v>33</v>
          </cell>
        </row>
        <row r="146">
          <cell r="A146" t="str">
            <v>Singapore</v>
          </cell>
          <cell r="B146" t="str">
            <v>SGP</v>
          </cell>
          <cell r="C146" t="str">
            <v>AP</v>
          </cell>
          <cell r="D146">
            <v>84</v>
          </cell>
        </row>
        <row r="147">
          <cell r="A147" t="str">
            <v>Slovakia</v>
          </cell>
          <cell r="B147" t="str">
            <v>SVK</v>
          </cell>
          <cell r="C147" t="str">
            <v>WE/EU</v>
          </cell>
          <cell r="D147">
            <v>49</v>
          </cell>
        </row>
        <row r="148">
          <cell r="A148" t="str">
            <v>Slovenia</v>
          </cell>
          <cell r="B148" t="str">
            <v>SVN</v>
          </cell>
          <cell r="C148" t="str">
            <v>WE/EU</v>
          </cell>
          <cell r="D148">
            <v>60</v>
          </cell>
        </row>
        <row r="149">
          <cell r="A149" t="str">
            <v>Solomon Islands</v>
          </cell>
          <cell r="B149" t="str">
            <v>SLB</v>
          </cell>
          <cell r="C149" t="str">
            <v>AP</v>
          </cell>
          <cell r="D149">
            <v>43</v>
          </cell>
        </row>
        <row r="150">
          <cell r="A150" t="str">
            <v>Somalia</v>
          </cell>
          <cell r="B150" t="str">
            <v>SOM</v>
          </cell>
          <cell r="C150" t="str">
            <v>SSA</v>
          </cell>
          <cell r="D150">
            <v>9</v>
          </cell>
        </row>
        <row r="151">
          <cell r="A151" t="str">
            <v>South Africa</v>
          </cell>
          <cell r="B151" t="str">
            <v>ZAF</v>
          </cell>
          <cell r="C151" t="str">
            <v>SSA</v>
          </cell>
          <cell r="D151">
            <v>41</v>
          </cell>
        </row>
        <row r="152">
          <cell r="A152" t="str">
            <v>South Sudan</v>
          </cell>
          <cell r="B152" t="str">
            <v>SSD</v>
          </cell>
          <cell r="C152" t="str">
            <v>SSA</v>
          </cell>
          <cell r="D152">
            <v>8</v>
          </cell>
        </row>
        <row r="153">
          <cell r="A153" t="str">
            <v>Spain</v>
          </cell>
          <cell r="B153" t="str">
            <v>ESP</v>
          </cell>
          <cell r="C153" t="str">
            <v>WE/EU</v>
          </cell>
          <cell r="D153">
            <v>56</v>
          </cell>
        </row>
        <row r="154">
          <cell r="A154" t="str">
            <v>Sri Lanka</v>
          </cell>
          <cell r="B154" t="str">
            <v>LKA</v>
          </cell>
          <cell r="C154" t="str">
            <v>AP</v>
          </cell>
          <cell r="D154">
            <v>32</v>
          </cell>
        </row>
        <row r="155">
          <cell r="A155" t="str">
            <v>Sudan</v>
          </cell>
          <cell r="B155" t="str">
            <v>SDN</v>
          </cell>
          <cell r="C155" t="str">
            <v>SSA</v>
          </cell>
          <cell r="D155">
            <v>15</v>
          </cell>
        </row>
        <row r="156">
          <cell r="A156" t="str">
            <v>Suriname</v>
          </cell>
          <cell r="B156" t="str">
            <v>SUR</v>
          </cell>
          <cell r="C156" t="str">
            <v>AME</v>
          </cell>
          <cell r="D156">
            <v>40</v>
          </cell>
        </row>
        <row r="157">
          <cell r="A157" t="str">
            <v>Sweden</v>
          </cell>
          <cell r="B157" t="str">
            <v>SWE</v>
          </cell>
          <cell r="C157" t="str">
            <v>WE/EU</v>
          </cell>
          <cell r="D157">
            <v>80</v>
          </cell>
        </row>
        <row r="158">
          <cell r="A158" t="str">
            <v>Switzerland</v>
          </cell>
          <cell r="B158" t="str">
            <v>CHE</v>
          </cell>
          <cell r="C158" t="str">
            <v>WE/EU</v>
          </cell>
          <cell r="D158">
            <v>81</v>
          </cell>
        </row>
        <row r="159">
          <cell r="A159" t="str">
            <v>Syria</v>
          </cell>
          <cell r="B159" t="str">
            <v>SYR</v>
          </cell>
          <cell r="C159" t="str">
            <v>MENA</v>
          </cell>
          <cell r="D159">
            <v>12</v>
          </cell>
        </row>
        <row r="160">
          <cell r="A160" t="str">
            <v>Taiwan</v>
          </cell>
          <cell r="B160" t="str">
            <v>TWN</v>
          </cell>
          <cell r="C160" t="str">
            <v>AP</v>
          </cell>
          <cell r="D160">
            <v>67</v>
          </cell>
        </row>
        <row r="161">
          <cell r="A161" t="str">
            <v>Tajikistan</v>
          </cell>
          <cell r="B161" t="str">
            <v>TJK</v>
          </cell>
          <cell r="C161" t="str">
            <v>ECA</v>
          </cell>
          <cell r="D161">
            <v>19</v>
          </cell>
        </row>
        <row r="162">
          <cell r="A162" t="str">
            <v>Tanzania</v>
          </cell>
          <cell r="B162" t="str">
            <v>TZA</v>
          </cell>
          <cell r="C162" t="str">
            <v>SSA</v>
          </cell>
          <cell r="D162">
            <v>41</v>
          </cell>
        </row>
        <row r="163">
          <cell r="A163" t="str">
            <v>Thailand</v>
          </cell>
          <cell r="B163" t="str">
            <v>THA</v>
          </cell>
          <cell r="C163" t="str">
            <v>AP</v>
          </cell>
          <cell r="D163">
            <v>34</v>
          </cell>
        </row>
        <row r="164">
          <cell r="A164" t="str">
            <v>Timor-Leste</v>
          </cell>
          <cell r="B164" t="str">
            <v>TLS</v>
          </cell>
          <cell r="C164" t="str">
            <v>AP</v>
          </cell>
          <cell r="D164">
            <v>44</v>
          </cell>
        </row>
        <row r="165">
          <cell r="A165" t="str">
            <v>Togo</v>
          </cell>
          <cell r="B165" t="str">
            <v>TGO</v>
          </cell>
          <cell r="C165" t="str">
            <v>SSA</v>
          </cell>
          <cell r="D165">
            <v>32</v>
          </cell>
        </row>
        <row r="166">
          <cell r="A166" t="str">
            <v>Trinidad and Tobago</v>
          </cell>
          <cell r="B166" t="str">
            <v>TTO</v>
          </cell>
          <cell r="C166" t="str">
            <v>AME</v>
          </cell>
          <cell r="D166">
            <v>41</v>
          </cell>
        </row>
        <row r="167">
          <cell r="A167" t="str">
            <v>Tunisia</v>
          </cell>
          <cell r="B167" t="str">
            <v>TUN</v>
          </cell>
          <cell r="C167" t="str">
            <v>MENA</v>
          </cell>
          <cell r="D167">
            <v>39</v>
          </cell>
        </row>
        <row r="168">
          <cell r="A168" t="str">
            <v>Turkey</v>
          </cell>
          <cell r="B168" t="str">
            <v>TUR</v>
          </cell>
          <cell r="C168" t="str">
            <v>ECA</v>
          </cell>
          <cell r="D168">
            <v>34</v>
          </cell>
        </row>
        <row r="169">
          <cell r="A169" t="str">
            <v>Turkmenistan</v>
          </cell>
          <cell r="B169" t="str">
            <v>TKM</v>
          </cell>
          <cell r="C169" t="str">
            <v>ECA</v>
          </cell>
          <cell r="D169">
            <v>17</v>
          </cell>
        </row>
        <row r="170">
          <cell r="A170" t="str">
            <v>Uganda</v>
          </cell>
          <cell r="B170" t="str">
            <v>UGA</v>
          </cell>
          <cell r="C170" t="str">
            <v>SSA</v>
          </cell>
          <cell r="D170">
            <v>26</v>
          </cell>
        </row>
        <row r="171">
          <cell r="A171" t="str">
            <v>Ukraine</v>
          </cell>
          <cell r="B171" t="str">
            <v>UKR</v>
          </cell>
          <cell r="C171" t="str">
            <v>ECA</v>
          </cell>
          <cell r="D171">
            <v>35</v>
          </cell>
        </row>
        <row r="172">
          <cell r="A172" t="str">
            <v>United Arab Emirates</v>
          </cell>
          <cell r="B172" t="str">
            <v>ARE</v>
          </cell>
          <cell r="C172" t="str">
            <v>MENA</v>
          </cell>
          <cell r="D172">
            <v>68</v>
          </cell>
        </row>
        <row r="173">
          <cell r="A173" t="str">
            <v>United Kingdom</v>
          </cell>
          <cell r="B173" t="str">
            <v>GBR</v>
          </cell>
          <cell r="C173" t="str">
            <v>WE/EU</v>
          </cell>
          <cell r="D173">
            <v>71</v>
          </cell>
        </row>
        <row r="174">
          <cell r="A174" t="str">
            <v>United States of America</v>
          </cell>
          <cell r="B174" t="str">
            <v>USA</v>
          </cell>
          <cell r="C174" t="str">
            <v>AME</v>
          </cell>
          <cell r="D174">
            <v>65</v>
          </cell>
        </row>
        <row r="175">
          <cell r="A175" t="str">
            <v>Uruguay</v>
          </cell>
          <cell r="B175" t="str">
            <v>URY</v>
          </cell>
          <cell r="C175" t="str">
            <v>AME</v>
          </cell>
          <cell r="D175">
            <v>76</v>
          </cell>
        </row>
        <row r="176">
          <cell r="A176" t="str">
            <v>Uzbekistan</v>
          </cell>
          <cell r="B176" t="str">
            <v>UZB</v>
          </cell>
          <cell r="C176" t="str">
            <v>ECA</v>
          </cell>
          <cell r="D176">
            <v>32</v>
          </cell>
        </row>
        <row r="177">
          <cell r="A177" t="str">
            <v>Vanuatu</v>
          </cell>
          <cell r="B177" t="str">
            <v>VUT</v>
          </cell>
          <cell r="C177" t="str">
            <v>AP</v>
          </cell>
          <cell r="D177">
            <v>50</v>
          </cell>
        </row>
        <row r="178">
          <cell r="A178" t="str">
            <v>Venezuela</v>
          </cell>
          <cell r="B178" t="str">
            <v>VEN</v>
          </cell>
          <cell r="C178" t="str">
            <v>AME</v>
          </cell>
          <cell r="D178">
            <v>10</v>
          </cell>
        </row>
        <row r="179">
          <cell r="A179" t="str">
            <v>Vietnam</v>
          </cell>
          <cell r="B179" t="str">
            <v>VNM</v>
          </cell>
          <cell r="C179" t="str">
            <v>AP</v>
          </cell>
          <cell r="D179">
            <v>40</v>
          </cell>
        </row>
        <row r="180">
          <cell r="A180" t="str">
            <v>Yemen</v>
          </cell>
          <cell r="B180" t="str">
            <v>YEM</v>
          </cell>
          <cell r="C180" t="str">
            <v>MENA</v>
          </cell>
          <cell r="D180">
            <v>13</v>
          </cell>
        </row>
        <row r="181">
          <cell r="A181" t="str">
            <v>Zambia</v>
          </cell>
          <cell r="B181" t="str">
            <v>ZMB</v>
          </cell>
          <cell r="C181" t="str">
            <v>SSA</v>
          </cell>
          <cell r="D181">
            <v>39</v>
          </cell>
        </row>
        <row r="182">
          <cell r="A182" t="str">
            <v>Zimbabwe</v>
          </cell>
          <cell r="B182" t="str">
            <v>ZWE</v>
          </cell>
          <cell r="C182" t="str">
            <v>SSA</v>
          </cell>
          <cell r="D182">
            <v>21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ui" refreshedDate="45853.608590162039" createdVersion="8" refreshedVersion="8" minRefreshableVersion="3" recordCount="42" xr:uid="{5EF1D820-CC97-4282-847F-716597B6F637}">
  <cacheSource type="worksheet">
    <worksheetSource ref="A1:G43" sheet="gdb-2024"/>
  </cacheSource>
  <cacheFields count="7">
    <cacheField name="iso3" numFmtId="0">
      <sharedItems/>
    </cacheField>
    <cacheField name="country" numFmtId="0">
      <sharedItems count="37">
        <s v="Angola"/>
        <s v="Argentina"/>
        <s v="Benin"/>
        <s v="Burkina Faso"/>
        <s v="Bolivia (Plurinational State of)"/>
        <s v="Brazil"/>
        <s v="Botswana"/>
        <s v="Chile"/>
        <s v="Cote d'Ivoire"/>
        <s v="Cameroon"/>
        <s v="Colombia"/>
        <s v="Costa Rica"/>
        <s v="Dominican Republic"/>
        <s v="Ecuador"/>
        <s v="Ghana"/>
        <s v="Guatemala"/>
        <s v="Honduras"/>
        <s v="Jamaica"/>
        <s v="Kenya"/>
        <s v="Liberia"/>
        <s v="Morocco"/>
        <s v="Mexico"/>
        <s v="Mozambique"/>
        <s v="Malawi"/>
        <s v="Namibia"/>
        <s v="Nigeria"/>
        <s v="Panama"/>
        <s v="Peru"/>
        <s v="Paraguay"/>
        <s v="Rwanda"/>
        <s v="Sierra Leone"/>
        <s v="El Salvador"/>
        <s v="Togo"/>
        <s v="Tunisia"/>
        <s v="Uganda"/>
        <s v="Uruguay"/>
        <s v="South Africa"/>
      </sharedItems>
    </cacheField>
    <cacheField name="cluster" numFmtId="0">
      <sharedItems/>
    </cacheField>
    <cacheField name="action_area" numFmtId="0">
      <sharedItems count="2">
        <s v="Political Finance"/>
        <s v="Lobbying"/>
      </sharedItems>
    </cacheField>
    <cacheField name="hierarchy_level" numFmtId="0">
      <sharedItems containsSemiMixedTypes="0" containsString="0" containsNumber="1" containsInteger="1" minValue="0" maxValue="0"/>
    </cacheField>
    <cacheField name="score" numFmtId="0">
      <sharedItems containsSemiMixedTypes="0" containsString="0" containsNumber="1" minValue="2" maxValue="88.74"/>
    </cacheField>
    <cacheField name="barometer_region" numFmtId="0">
      <sharedItems count="2">
        <s v="Africa"/>
        <s v="Latin America and the Caribbe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GO"/>
    <x v="0"/>
    <s v="Political Integrity"/>
    <x v="0"/>
    <n v="0"/>
    <n v="28.34"/>
    <x v="0"/>
  </r>
  <r>
    <s v="ARG"/>
    <x v="1"/>
    <s v="Political Integrity"/>
    <x v="0"/>
    <n v="0"/>
    <n v="74.97"/>
    <x v="1"/>
  </r>
  <r>
    <s v="BEN"/>
    <x v="2"/>
    <s v="Political Integrity"/>
    <x v="0"/>
    <n v="0"/>
    <n v="10"/>
    <x v="0"/>
  </r>
  <r>
    <s v="BFA"/>
    <x v="3"/>
    <s v="Political Integrity"/>
    <x v="0"/>
    <n v="0"/>
    <n v="12.86"/>
    <x v="0"/>
  </r>
  <r>
    <s v="BOL"/>
    <x v="4"/>
    <s v="Political Integrity"/>
    <x v="0"/>
    <n v="0"/>
    <n v="27.63"/>
    <x v="1"/>
  </r>
  <r>
    <s v="BRA"/>
    <x v="5"/>
    <s v="Political Integrity"/>
    <x v="1"/>
    <n v="0"/>
    <n v="14.78"/>
    <x v="1"/>
  </r>
  <r>
    <s v="BRA"/>
    <x v="5"/>
    <s v="Political Integrity"/>
    <x v="0"/>
    <n v="0"/>
    <n v="88.74"/>
    <x v="1"/>
  </r>
  <r>
    <s v="BWA"/>
    <x v="6"/>
    <s v="Political Integrity"/>
    <x v="0"/>
    <n v="0"/>
    <n v="9.64"/>
    <x v="0"/>
  </r>
  <r>
    <s v="CHL"/>
    <x v="7"/>
    <s v="Political Integrity"/>
    <x v="1"/>
    <n v="0"/>
    <n v="88.63"/>
    <x v="1"/>
  </r>
  <r>
    <s v="CHL"/>
    <x v="7"/>
    <s v="Political Integrity"/>
    <x v="0"/>
    <n v="0"/>
    <n v="76.599999999999994"/>
    <x v="1"/>
  </r>
  <r>
    <s v="CIV"/>
    <x v="8"/>
    <s v="Political Integrity"/>
    <x v="0"/>
    <n v="0"/>
    <n v="2"/>
    <x v="0"/>
  </r>
  <r>
    <s v="CMR"/>
    <x v="9"/>
    <s v="Political Integrity"/>
    <x v="0"/>
    <n v="0"/>
    <n v="9.81"/>
    <x v="0"/>
  </r>
  <r>
    <s v="COL"/>
    <x v="10"/>
    <s v="Political Integrity"/>
    <x v="1"/>
    <n v="0"/>
    <n v="26.46"/>
    <x v="1"/>
  </r>
  <r>
    <s v="COL"/>
    <x v="10"/>
    <s v="Political Integrity"/>
    <x v="0"/>
    <n v="0"/>
    <n v="64.900000000000006"/>
    <x v="1"/>
  </r>
  <r>
    <s v="CRI"/>
    <x v="11"/>
    <s v="Political Integrity"/>
    <x v="1"/>
    <n v="0"/>
    <n v="3.77"/>
    <x v="1"/>
  </r>
  <r>
    <s v="CRI"/>
    <x v="11"/>
    <s v="Political Integrity"/>
    <x v="0"/>
    <n v="0"/>
    <n v="65.45"/>
    <x v="1"/>
  </r>
  <r>
    <s v="DOM"/>
    <x v="12"/>
    <s v="Political Integrity"/>
    <x v="0"/>
    <n v="0"/>
    <n v="64.010000000000005"/>
    <x v="1"/>
  </r>
  <r>
    <s v="ECU"/>
    <x v="13"/>
    <s v="Political Integrity"/>
    <x v="0"/>
    <n v="0"/>
    <n v="53.94"/>
    <x v="1"/>
  </r>
  <r>
    <s v="GHA"/>
    <x v="14"/>
    <s v="Political Integrity"/>
    <x v="0"/>
    <n v="0"/>
    <n v="29.28"/>
    <x v="0"/>
  </r>
  <r>
    <s v="GTM"/>
    <x v="15"/>
    <s v="Political Integrity"/>
    <x v="0"/>
    <n v="0"/>
    <n v="76.95"/>
    <x v="1"/>
  </r>
  <r>
    <s v="HND"/>
    <x v="16"/>
    <s v="Political Integrity"/>
    <x v="0"/>
    <n v="0"/>
    <n v="64.59"/>
    <x v="1"/>
  </r>
  <r>
    <s v="JAM"/>
    <x v="17"/>
    <s v="Political Integrity"/>
    <x v="0"/>
    <n v="0"/>
    <n v="52.07"/>
    <x v="1"/>
  </r>
  <r>
    <s v="KEN"/>
    <x v="18"/>
    <s v="Political Integrity"/>
    <x v="0"/>
    <n v="0"/>
    <n v="29.28"/>
    <x v="0"/>
  </r>
  <r>
    <s v="LBR"/>
    <x v="19"/>
    <s v="Political Integrity"/>
    <x v="0"/>
    <n v="0"/>
    <n v="26.07"/>
    <x v="0"/>
  </r>
  <r>
    <s v="MAR"/>
    <x v="20"/>
    <s v="Political Integrity"/>
    <x v="0"/>
    <n v="0"/>
    <n v="59.09"/>
    <x v="0"/>
  </r>
  <r>
    <s v="MEX"/>
    <x v="21"/>
    <s v="Political Integrity"/>
    <x v="1"/>
    <n v="0"/>
    <n v="30.85"/>
    <x v="1"/>
  </r>
  <r>
    <s v="MEX"/>
    <x v="21"/>
    <s v="Political Integrity"/>
    <x v="0"/>
    <n v="0"/>
    <n v="61.91"/>
    <x v="1"/>
  </r>
  <r>
    <s v="MOZ"/>
    <x v="22"/>
    <s v="Political Integrity"/>
    <x v="0"/>
    <n v="0"/>
    <n v="28.94"/>
    <x v="0"/>
  </r>
  <r>
    <s v="MWI"/>
    <x v="23"/>
    <s v="Political Integrity"/>
    <x v="0"/>
    <n v="0"/>
    <n v="27.91"/>
    <x v="0"/>
  </r>
  <r>
    <s v="NAM"/>
    <x v="24"/>
    <s v="Political Integrity"/>
    <x v="0"/>
    <n v="0"/>
    <n v="5.71"/>
    <x v="0"/>
  </r>
  <r>
    <s v="NGA"/>
    <x v="25"/>
    <s v="Political Integrity"/>
    <x v="0"/>
    <n v="0"/>
    <n v="32.26"/>
    <x v="0"/>
  </r>
  <r>
    <s v="PAN"/>
    <x v="26"/>
    <s v="Political Integrity"/>
    <x v="0"/>
    <n v="0"/>
    <n v="59.53"/>
    <x v="1"/>
  </r>
  <r>
    <s v="PER"/>
    <x v="27"/>
    <s v="Political Integrity"/>
    <x v="0"/>
    <n v="0"/>
    <n v="78.56"/>
    <x v="1"/>
  </r>
  <r>
    <s v="PRY"/>
    <x v="28"/>
    <s v="Political Integrity"/>
    <x v="0"/>
    <n v="0"/>
    <n v="70.17"/>
    <x v="1"/>
  </r>
  <r>
    <s v="RWA"/>
    <x v="29"/>
    <s v="Political Integrity"/>
    <x v="0"/>
    <n v="0"/>
    <n v="18.57"/>
    <x v="0"/>
  </r>
  <r>
    <s v="SLE"/>
    <x v="30"/>
    <s v="Political Integrity"/>
    <x v="0"/>
    <n v="0"/>
    <n v="36.67"/>
    <x v="0"/>
  </r>
  <r>
    <s v="SLV"/>
    <x v="31"/>
    <s v="Political Integrity"/>
    <x v="0"/>
    <n v="0"/>
    <n v="27.24"/>
    <x v="1"/>
  </r>
  <r>
    <s v="TGO"/>
    <x v="32"/>
    <s v="Political Integrity"/>
    <x v="0"/>
    <n v="0"/>
    <n v="12.29"/>
    <x v="0"/>
  </r>
  <r>
    <s v="TUN"/>
    <x v="33"/>
    <s v="Political Integrity"/>
    <x v="0"/>
    <n v="0"/>
    <n v="41.43"/>
    <x v="0"/>
  </r>
  <r>
    <s v="UGA"/>
    <x v="34"/>
    <s v="Political Integrity"/>
    <x v="0"/>
    <n v="0"/>
    <n v="41.31"/>
    <x v="0"/>
  </r>
  <r>
    <s v="URY"/>
    <x v="35"/>
    <s v="Political Integrity"/>
    <x v="0"/>
    <n v="0"/>
    <n v="67.31"/>
    <x v="1"/>
  </r>
  <r>
    <s v="ZAF"/>
    <x v="36"/>
    <s v="Political Integrity"/>
    <x v="0"/>
    <n v="0"/>
    <n v="47.8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B8012-7CBF-4996-9407-76271167750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4" firstHeaderRow="1" firstDataRow="2" firstDataCol="1"/>
  <pivotFields count="7">
    <pivotField showAll="0"/>
    <pivotField axis="axisRow" showAll="0">
      <items count="38">
        <item x="0"/>
        <item x="1"/>
        <item x="2"/>
        <item x="4"/>
        <item x="6"/>
        <item x="5"/>
        <item x="3"/>
        <item x="9"/>
        <item x="7"/>
        <item x="10"/>
        <item x="11"/>
        <item x="8"/>
        <item x="12"/>
        <item x="13"/>
        <item x="31"/>
        <item x="14"/>
        <item x="15"/>
        <item x="16"/>
        <item x="17"/>
        <item x="18"/>
        <item x="19"/>
        <item x="23"/>
        <item x="21"/>
        <item x="20"/>
        <item x="22"/>
        <item x="24"/>
        <item x="25"/>
        <item x="26"/>
        <item x="28"/>
        <item x="27"/>
        <item x="29"/>
        <item x="30"/>
        <item x="36"/>
        <item x="32"/>
        <item x="33"/>
        <item x="34"/>
        <item x="35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6"/>
    <field x="1"/>
  </rowFields>
  <rowItems count="40">
    <i>
      <x/>
    </i>
    <i r="1">
      <x/>
    </i>
    <i r="1">
      <x v="2"/>
    </i>
    <i r="1">
      <x v="4"/>
    </i>
    <i r="1">
      <x v="6"/>
    </i>
    <i r="1">
      <x v="7"/>
    </i>
    <i r="1">
      <x v="11"/>
    </i>
    <i r="1">
      <x v="15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"/>
    </i>
    <i r="1">
      <x v="1"/>
    </i>
    <i r="1">
      <x v="3"/>
    </i>
    <i r="1">
      <x v="5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2"/>
    </i>
    <i r="1">
      <x v="27"/>
    </i>
    <i r="1">
      <x v="28"/>
    </i>
    <i r="1">
      <x v="29"/>
    </i>
    <i r="1">
      <x v="3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score" fld="5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70825-A987-43B9-87A8-E6DFED35020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42" firstHeaderRow="1" firstDataRow="2" firstDataCol="1"/>
  <pivotFields count="7">
    <pivotField showAll="0"/>
    <pivotField axis="axisRow" showAll="0">
      <items count="38">
        <item x="0"/>
        <item x="1"/>
        <item x="2"/>
        <item x="4"/>
        <item x="6"/>
        <item x="5"/>
        <item x="3"/>
        <item x="9"/>
        <item x="7"/>
        <item x="10"/>
        <item x="11"/>
        <item x="8"/>
        <item x="12"/>
        <item x="13"/>
        <item x="31"/>
        <item x="14"/>
        <item x="15"/>
        <item x="16"/>
        <item x="17"/>
        <item x="18"/>
        <item x="19"/>
        <item x="23"/>
        <item x="21"/>
        <item x="20"/>
        <item x="22"/>
        <item x="24"/>
        <item x="25"/>
        <item x="26"/>
        <item x="28"/>
        <item x="27"/>
        <item x="29"/>
        <item x="30"/>
        <item x="36"/>
        <item x="32"/>
        <item x="33"/>
        <item x="34"/>
        <item x="35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6"/>
    <field x="1"/>
  </rowFields>
  <rowItems count="40">
    <i>
      <x/>
    </i>
    <i r="1">
      <x/>
    </i>
    <i r="1">
      <x v="2"/>
    </i>
    <i r="1">
      <x v="4"/>
    </i>
    <i r="1">
      <x v="6"/>
    </i>
    <i r="1">
      <x v="7"/>
    </i>
    <i r="1">
      <x v="11"/>
    </i>
    <i r="1">
      <x v="15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"/>
    </i>
    <i r="1">
      <x v="1"/>
    </i>
    <i r="1">
      <x v="3"/>
    </i>
    <i r="1">
      <x v="5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2"/>
    </i>
    <i r="1">
      <x v="27"/>
    </i>
    <i r="1">
      <x v="28"/>
    </i>
    <i r="1">
      <x v="29"/>
    </i>
    <i r="1">
      <x v="3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score" fld="5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25BD-DB0F-4655-BB51-1E13D491C0E0}">
  <dimension ref="A3:F44"/>
  <sheetViews>
    <sheetView topLeftCell="A25" workbookViewId="0">
      <selection activeCell="F41" sqref="F41"/>
    </sheetView>
  </sheetViews>
  <sheetFormatPr defaultRowHeight="14.5" x14ac:dyDescent="0.35"/>
  <cols>
    <col min="1" max="1" width="30.08984375" bestFit="1" customWidth="1"/>
    <col min="2" max="2" width="15.6328125" bestFit="1" customWidth="1"/>
    <col min="3" max="3" width="14.90625" bestFit="1" customWidth="1"/>
    <col min="4" max="4" width="11.81640625" bestFit="1" customWidth="1"/>
    <col min="5" max="5" width="20.81640625" customWidth="1"/>
    <col min="6" max="6" width="43.90625" customWidth="1"/>
  </cols>
  <sheetData>
    <row r="3" spans="1:6" x14ac:dyDescent="0.35">
      <c r="A3" s="1" t="s">
        <v>89</v>
      </c>
      <c r="B3" s="1" t="s">
        <v>88</v>
      </c>
    </row>
    <row r="4" spans="1:6" x14ac:dyDescent="0.35">
      <c r="A4" s="1" t="s">
        <v>86</v>
      </c>
      <c r="B4" t="s">
        <v>23</v>
      </c>
      <c r="C4" t="s">
        <v>10</v>
      </c>
      <c r="D4" t="s">
        <v>87</v>
      </c>
      <c r="E4" s="5" t="s">
        <v>90</v>
      </c>
      <c r="F4" s="5" t="s">
        <v>91</v>
      </c>
    </row>
    <row r="5" spans="1:6" x14ac:dyDescent="0.35">
      <c r="A5" s="2" t="s">
        <v>11</v>
      </c>
      <c r="B5" s="4"/>
      <c r="C5" s="4">
        <v>25.464500000000001</v>
      </c>
      <c r="D5" s="4">
        <v>25.464500000000001</v>
      </c>
      <c r="E5">
        <f>AVERAGE(B5, C5)</f>
        <v>25.464500000000001</v>
      </c>
    </row>
    <row r="6" spans="1:6" x14ac:dyDescent="0.35">
      <c r="A6" s="3" t="s">
        <v>8</v>
      </c>
      <c r="B6" s="4"/>
      <c r="C6" s="4">
        <v>28.34</v>
      </c>
      <c r="D6" s="4">
        <v>28.34</v>
      </c>
      <c r="E6">
        <f t="shared" ref="E6:E44" si="0">AVERAGE(B6, C6)</f>
        <v>28.34</v>
      </c>
      <c r="F6">
        <f>VLOOKUP(A6, [1]Sheet1!$A$2:$D$185, 4, FALSE)</f>
        <v>32</v>
      </c>
    </row>
    <row r="7" spans="1:6" x14ac:dyDescent="0.35">
      <c r="A7" s="3" t="s">
        <v>16</v>
      </c>
      <c r="B7" s="4"/>
      <c r="C7" s="4">
        <v>10</v>
      </c>
      <c r="D7" s="4">
        <v>10</v>
      </c>
      <c r="E7">
        <f t="shared" si="0"/>
        <v>10</v>
      </c>
      <c r="F7">
        <f>VLOOKUP(A7, [1]Sheet1!$A$2:$D$185, 4, FALSE)</f>
        <v>45</v>
      </c>
    </row>
    <row r="8" spans="1:6" x14ac:dyDescent="0.35">
      <c r="A8" s="3" t="s">
        <v>25</v>
      </c>
      <c r="B8" s="4"/>
      <c r="C8" s="4">
        <v>9.64</v>
      </c>
      <c r="D8" s="4">
        <v>9.64</v>
      </c>
      <c r="E8">
        <f t="shared" si="0"/>
        <v>9.64</v>
      </c>
      <c r="F8">
        <f>VLOOKUP(A8, [1]Sheet1!$A$2:$D$185, 4, FALSE)</f>
        <v>57</v>
      </c>
    </row>
    <row r="9" spans="1:6" x14ac:dyDescent="0.35">
      <c r="A9" s="3" t="s">
        <v>18</v>
      </c>
      <c r="B9" s="4"/>
      <c r="C9" s="4">
        <v>12.86</v>
      </c>
      <c r="D9" s="4">
        <v>12.86</v>
      </c>
      <c r="E9">
        <f t="shared" si="0"/>
        <v>12.86</v>
      </c>
      <c r="F9">
        <f>VLOOKUP(A9, [1]Sheet1!$A$2:$D$185, 4, FALSE)</f>
        <v>41</v>
      </c>
    </row>
    <row r="10" spans="1:6" x14ac:dyDescent="0.35">
      <c r="A10" s="3" t="s">
        <v>31</v>
      </c>
      <c r="B10" s="4"/>
      <c r="C10" s="4">
        <v>9.81</v>
      </c>
      <c r="D10" s="4">
        <v>9.81</v>
      </c>
      <c r="E10">
        <f t="shared" si="0"/>
        <v>9.81</v>
      </c>
      <c r="F10">
        <f>VLOOKUP(A10, [1]Sheet1!$A$2:$D$185, 4, FALSE)</f>
        <v>26</v>
      </c>
    </row>
    <row r="11" spans="1:6" x14ac:dyDescent="0.35">
      <c r="A11" s="3" t="s">
        <v>29</v>
      </c>
      <c r="B11" s="4"/>
      <c r="C11" s="4">
        <v>2</v>
      </c>
      <c r="D11" s="4">
        <v>2</v>
      </c>
      <c r="E11">
        <f t="shared" si="0"/>
        <v>2</v>
      </c>
      <c r="F11">
        <f>VLOOKUP(A11, [1]Sheet1!$A$2:$D$185, 4, FALSE)</f>
        <v>45</v>
      </c>
    </row>
    <row r="12" spans="1:6" x14ac:dyDescent="0.35">
      <c r="A12" s="3" t="s">
        <v>41</v>
      </c>
      <c r="B12" s="4"/>
      <c r="C12" s="4">
        <v>29.28</v>
      </c>
      <c r="D12" s="4">
        <v>29.28</v>
      </c>
      <c r="E12">
        <f t="shared" si="0"/>
        <v>29.28</v>
      </c>
      <c r="F12">
        <f>VLOOKUP(A12, [1]Sheet1!$A$2:$D$185, 4, FALSE)</f>
        <v>42</v>
      </c>
    </row>
    <row r="13" spans="1:6" x14ac:dyDescent="0.35">
      <c r="A13" s="3" t="s">
        <v>49</v>
      </c>
      <c r="B13" s="4"/>
      <c r="C13" s="4">
        <v>29.28</v>
      </c>
      <c r="D13" s="4">
        <v>29.28</v>
      </c>
      <c r="E13">
        <f t="shared" si="0"/>
        <v>29.28</v>
      </c>
      <c r="F13">
        <f>VLOOKUP(A13, [1]Sheet1!$A$2:$D$185, 4, FALSE)</f>
        <v>32</v>
      </c>
    </row>
    <row r="14" spans="1:6" x14ac:dyDescent="0.35">
      <c r="A14" s="3" t="s">
        <v>51</v>
      </c>
      <c r="B14" s="4"/>
      <c r="C14" s="4">
        <v>26.07</v>
      </c>
      <c r="D14" s="4">
        <v>26.07</v>
      </c>
      <c r="E14">
        <f t="shared" si="0"/>
        <v>26.07</v>
      </c>
      <c r="F14">
        <f>VLOOKUP(A14, [1]Sheet1!$A$2:$D$185, 4, FALSE)</f>
        <v>27</v>
      </c>
    </row>
    <row r="15" spans="1:6" x14ac:dyDescent="0.35">
      <c r="A15" s="3" t="s">
        <v>59</v>
      </c>
      <c r="B15" s="4"/>
      <c r="C15" s="4">
        <v>27.91</v>
      </c>
      <c r="D15" s="4">
        <v>27.91</v>
      </c>
      <c r="E15">
        <f t="shared" si="0"/>
        <v>27.91</v>
      </c>
      <c r="F15">
        <f>VLOOKUP(A15, [1]Sheet1!$A$2:$D$185, 4, FALSE)</f>
        <v>34</v>
      </c>
    </row>
    <row r="16" spans="1:6" x14ac:dyDescent="0.35">
      <c r="A16" s="3" t="s">
        <v>53</v>
      </c>
      <c r="B16" s="4"/>
      <c r="C16" s="4">
        <v>59.09</v>
      </c>
      <c r="D16" s="4">
        <v>59.09</v>
      </c>
      <c r="E16">
        <f t="shared" si="0"/>
        <v>59.09</v>
      </c>
      <c r="F16">
        <f>VLOOKUP(A16, [1]Sheet1!$A$2:$D$185, 4, FALSE)</f>
        <v>37</v>
      </c>
    </row>
    <row r="17" spans="1:6" x14ac:dyDescent="0.35">
      <c r="A17" s="3" t="s">
        <v>57</v>
      </c>
      <c r="B17" s="4"/>
      <c r="C17" s="4">
        <v>28.94</v>
      </c>
      <c r="D17" s="4">
        <v>28.94</v>
      </c>
      <c r="E17">
        <f t="shared" si="0"/>
        <v>28.94</v>
      </c>
      <c r="F17">
        <f>VLOOKUP(A17, [1]Sheet1!$A$2:$D$185, 4, FALSE)</f>
        <v>25</v>
      </c>
    </row>
    <row r="18" spans="1:6" x14ac:dyDescent="0.35">
      <c r="A18" s="3" t="s">
        <v>61</v>
      </c>
      <c r="B18" s="4"/>
      <c r="C18" s="4">
        <v>5.71</v>
      </c>
      <c r="D18" s="4">
        <v>5.71</v>
      </c>
      <c r="E18">
        <f t="shared" si="0"/>
        <v>5.71</v>
      </c>
      <c r="F18">
        <f>VLOOKUP(A18, [1]Sheet1!$A$2:$D$185, 4, FALSE)</f>
        <v>49</v>
      </c>
    </row>
    <row r="19" spans="1:6" x14ac:dyDescent="0.35">
      <c r="A19" s="3" t="s">
        <v>63</v>
      </c>
      <c r="B19" s="4"/>
      <c r="C19" s="4">
        <v>32.26</v>
      </c>
      <c r="D19" s="4">
        <v>32.26</v>
      </c>
      <c r="E19">
        <f t="shared" si="0"/>
        <v>32.26</v>
      </c>
      <c r="F19">
        <f>VLOOKUP(A19, [1]Sheet1!$A$2:$D$185, 4, FALSE)</f>
        <v>26</v>
      </c>
    </row>
    <row r="20" spans="1:6" x14ac:dyDescent="0.35">
      <c r="A20" s="3" t="s">
        <v>71</v>
      </c>
      <c r="B20" s="4"/>
      <c r="C20" s="4">
        <v>18.57</v>
      </c>
      <c r="D20" s="4">
        <v>18.57</v>
      </c>
      <c r="E20">
        <f t="shared" si="0"/>
        <v>18.57</v>
      </c>
      <c r="F20">
        <f>VLOOKUP(A20, [1]Sheet1!$A$2:$D$185, 4, FALSE)</f>
        <v>57</v>
      </c>
    </row>
    <row r="21" spans="1:6" x14ac:dyDescent="0.35">
      <c r="A21" s="3" t="s">
        <v>73</v>
      </c>
      <c r="B21" s="4"/>
      <c r="C21" s="4">
        <v>36.67</v>
      </c>
      <c r="D21" s="4">
        <v>36.67</v>
      </c>
      <c r="E21">
        <f t="shared" si="0"/>
        <v>36.67</v>
      </c>
      <c r="F21">
        <f>VLOOKUP(A21, [1]Sheet1!$A$2:$D$185, 4, FALSE)</f>
        <v>33</v>
      </c>
    </row>
    <row r="22" spans="1:6" x14ac:dyDescent="0.35">
      <c r="A22" s="3" t="s">
        <v>85</v>
      </c>
      <c r="B22" s="4"/>
      <c r="C22" s="4">
        <v>47.83</v>
      </c>
      <c r="D22" s="4">
        <v>47.83</v>
      </c>
      <c r="E22">
        <f t="shared" si="0"/>
        <v>47.83</v>
      </c>
      <c r="F22">
        <f>VLOOKUP(A22, [1]Sheet1!$A$2:$D$185, 4, FALSE)</f>
        <v>41</v>
      </c>
    </row>
    <row r="23" spans="1:6" x14ac:dyDescent="0.35">
      <c r="A23" s="3" t="s">
        <v>77</v>
      </c>
      <c r="B23" s="4"/>
      <c r="C23" s="4">
        <v>12.29</v>
      </c>
      <c r="D23" s="4">
        <v>12.29</v>
      </c>
      <c r="E23">
        <f t="shared" si="0"/>
        <v>12.29</v>
      </c>
      <c r="F23">
        <f>VLOOKUP(A23, [1]Sheet1!$A$2:$D$185, 4, FALSE)</f>
        <v>32</v>
      </c>
    </row>
    <row r="24" spans="1:6" x14ac:dyDescent="0.35">
      <c r="A24" s="3" t="s">
        <v>79</v>
      </c>
      <c r="B24" s="4"/>
      <c r="C24" s="4">
        <v>41.43</v>
      </c>
      <c r="D24" s="4">
        <v>41.43</v>
      </c>
      <c r="E24">
        <f t="shared" si="0"/>
        <v>41.43</v>
      </c>
      <c r="F24">
        <f>VLOOKUP(A24, [1]Sheet1!$A$2:$D$185, 4, FALSE)</f>
        <v>39</v>
      </c>
    </row>
    <row r="25" spans="1:6" x14ac:dyDescent="0.35">
      <c r="A25" s="3" t="s">
        <v>81</v>
      </c>
      <c r="B25" s="4"/>
      <c r="C25" s="4">
        <v>41.31</v>
      </c>
      <c r="D25" s="4">
        <v>41.31</v>
      </c>
      <c r="E25">
        <f t="shared" si="0"/>
        <v>41.31</v>
      </c>
      <c r="F25">
        <f>VLOOKUP(A25, [1]Sheet1!$A$2:$D$185, 4, FALSE)</f>
        <v>26</v>
      </c>
    </row>
    <row r="26" spans="1:6" x14ac:dyDescent="0.35">
      <c r="A26" s="2" t="s">
        <v>14</v>
      </c>
      <c r="B26" s="4">
        <v>32.898000000000003</v>
      </c>
      <c r="C26" s="4">
        <v>63.209999999999994</v>
      </c>
      <c r="D26" s="4">
        <v>56.320909090909097</v>
      </c>
      <c r="E26">
        <f t="shared" si="0"/>
        <v>48.054000000000002</v>
      </c>
      <c r="F26" t="e">
        <f>VLOOKUP(A26, [1]Sheet1!$A$2:$D$185, 4, FALSE)</f>
        <v>#N/A</v>
      </c>
    </row>
    <row r="27" spans="1:6" x14ac:dyDescent="0.35">
      <c r="A27" s="3" t="s">
        <v>13</v>
      </c>
      <c r="B27" s="4"/>
      <c r="C27" s="4">
        <v>74.97</v>
      </c>
      <c r="D27" s="4">
        <v>74.97</v>
      </c>
      <c r="E27">
        <f t="shared" si="0"/>
        <v>74.97</v>
      </c>
      <c r="F27">
        <f>VLOOKUP(A27, [1]Sheet1!$A$2:$D$185, 4, FALSE)</f>
        <v>37</v>
      </c>
    </row>
    <row r="28" spans="1:6" x14ac:dyDescent="0.35">
      <c r="A28" s="3" t="s">
        <v>20</v>
      </c>
      <c r="B28" s="4"/>
      <c r="C28" s="4">
        <v>27.63</v>
      </c>
      <c r="D28" s="4">
        <v>27.63</v>
      </c>
      <c r="E28">
        <f t="shared" si="0"/>
        <v>27.63</v>
      </c>
      <c r="F28">
        <v>28</v>
      </c>
    </row>
    <row r="29" spans="1:6" x14ac:dyDescent="0.35">
      <c r="A29" s="3" t="s">
        <v>22</v>
      </c>
      <c r="B29" s="4">
        <v>14.78</v>
      </c>
      <c r="C29" s="4">
        <v>88.74</v>
      </c>
      <c r="D29" s="4">
        <v>51.76</v>
      </c>
      <c r="E29">
        <f t="shared" si="0"/>
        <v>51.76</v>
      </c>
      <c r="F29">
        <f>VLOOKUP(A29, [1]Sheet1!$A$2:$D$185, 4, FALSE)</f>
        <v>34</v>
      </c>
    </row>
    <row r="30" spans="1:6" x14ac:dyDescent="0.35">
      <c r="A30" s="3" t="s">
        <v>27</v>
      </c>
      <c r="B30" s="4">
        <v>88.63</v>
      </c>
      <c r="C30" s="4">
        <v>76.599999999999994</v>
      </c>
      <c r="D30" s="4">
        <v>82.614999999999995</v>
      </c>
      <c r="E30">
        <f t="shared" si="0"/>
        <v>82.614999999999995</v>
      </c>
      <c r="F30">
        <f>VLOOKUP(A30, [1]Sheet1!$A$2:$D$185, 4, FALSE)</f>
        <v>63</v>
      </c>
    </row>
    <row r="31" spans="1:6" x14ac:dyDescent="0.35">
      <c r="A31" s="3" t="s">
        <v>33</v>
      </c>
      <c r="B31" s="4">
        <v>26.46</v>
      </c>
      <c r="C31" s="4">
        <v>64.900000000000006</v>
      </c>
      <c r="D31" s="4">
        <v>45.680000000000007</v>
      </c>
      <c r="E31">
        <f t="shared" si="0"/>
        <v>45.680000000000007</v>
      </c>
      <c r="F31">
        <f>VLOOKUP(A31, [1]Sheet1!$A$2:$D$185, 4, FALSE)</f>
        <v>39</v>
      </c>
    </row>
    <row r="32" spans="1:6" x14ac:dyDescent="0.35">
      <c r="A32" s="3" t="s">
        <v>35</v>
      </c>
      <c r="B32" s="4">
        <v>3.77</v>
      </c>
      <c r="C32" s="4">
        <v>65.45</v>
      </c>
      <c r="D32" s="4">
        <v>34.61</v>
      </c>
      <c r="E32">
        <f t="shared" si="0"/>
        <v>34.61</v>
      </c>
      <c r="F32">
        <f>VLOOKUP(A32, [1]Sheet1!$A$2:$D$185, 4, FALSE)</f>
        <v>58</v>
      </c>
    </row>
    <row r="33" spans="1:6" x14ac:dyDescent="0.35">
      <c r="A33" s="3" t="s">
        <v>37</v>
      </c>
      <c r="B33" s="4"/>
      <c r="C33" s="4">
        <v>64.010000000000005</v>
      </c>
      <c r="D33" s="4">
        <v>64.010000000000005</v>
      </c>
      <c r="E33">
        <f t="shared" si="0"/>
        <v>64.010000000000005</v>
      </c>
      <c r="F33">
        <f>VLOOKUP(A33, [1]Sheet1!$A$2:$D$185, 4, FALSE)</f>
        <v>36</v>
      </c>
    </row>
    <row r="34" spans="1:6" x14ac:dyDescent="0.35">
      <c r="A34" s="3" t="s">
        <v>39</v>
      </c>
      <c r="B34" s="4"/>
      <c r="C34" s="4">
        <v>53.94</v>
      </c>
      <c r="D34" s="4">
        <v>53.94</v>
      </c>
      <c r="E34">
        <f t="shared" si="0"/>
        <v>53.94</v>
      </c>
      <c r="F34">
        <f>VLOOKUP(A34, [1]Sheet1!$A$2:$D$185, 4, FALSE)</f>
        <v>32</v>
      </c>
    </row>
    <row r="35" spans="1:6" x14ac:dyDescent="0.35">
      <c r="A35" s="3" t="s">
        <v>75</v>
      </c>
      <c r="B35" s="4"/>
      <c r="C35" s="4">
        <v>27.24</v>
      </c>
      <c r="D35" s="4">
        <v>27.24</v>
      </c>
      <c r="E35">
        <f t="shared" si="0"/>
        <v>27.24</v>
      </c>
      <c r="F35">
        <f>VLOOKUP(A35, [1]Sheet1!$A$2:$D$185, 4, FALSE)</f>
        <v>30</v>
      </c>
    </row>
    <row r="36" spans="1:6" x14ac:dyDescent="0.35">
      <c r="A36" s="3" t="s">
        <v>43</v>
      </c>
      <c r="B36" s="4"/>
      <c r="C36" s="4">
        <v>76.95</v>
      </c>
      <c r="D36" s="4">
        <v>76.95</v>
      </c>
      <c r="E36">
        <f t="shared" si="0"/>
        <v>76.95</v>
      </c>
      <c r="F36">
        <f>VLOOKUP(A36, [1]Sheet1!$A$2:$D$185, 4, FALSE)</f>
        <v>25</v>
      </c>
    </row>
    <row r="37" spans="1:6" x14ac:dyDescent="0.35">
      <c r="A37" s="3" t="s">
        <v>45</v>
      </c>
      <c r="B37" s="4"/>
      <c r="C37" s="4">
        <v>64.59</v>
      </c>
      <c r="D37" s="4">
        <v>64.59</v>
      </c>
      <c r="E37">
        <f t="shared" si="0"/>
        <v>64.59</v>
      </c>
      <c r="F37">
        <f>VLOOKUP(A37, [1]Sheet1!$A$2:$D$185, 4, FALSE)</f>
        <v>22</v>
      </c>
    </row>
    <row r="38" spans="1:6" x14ac:dyDescent="0.35">
      <c r="A38" s="3" t="s">
        <v>47</v>
      </c>
      <c r="B38" s="4"/>
      <c r="C38" s="4">
        <v>52.07</v>
      </c>
      <c r="D38" s="4">
        <v>52.07</v>
      </c>
      <c r="E38">
        <f t="shared" si="0"/>
        <v>52.07</v>
      </c>
      <c r="F38">
        <f>VLOOKUP(A38, [1]Sheet1!$A$2:$D$185, 4, FALSE)</f>
        <v>44</v>
      </c>
    </row>
    <row r="39" spans="1:6" x14ac:dyDescent="0.35">
      <c r="A39" s="3" t="s">
        <v>55</v>
      </c>
      <c r="B39" s="4">
        <v>30.85</v>
      </c>
      <c r="C39" s="4">
        <v>61.91</v>
      </c>
      <c r="D39" s="4">
        <v>46.379999999999995</v>
      </c>
      <c r="E39">
        <f t="shared" si="0"/>
        <v>46.379999999999995</v>
      </c>
      <c r="F39">
        <f>VLOOKUP(A39, [1]Sheet1!$A$2:$D$185, 4, FALSE)</f>
        <v>26</v>
      </c>
    </row>
    <row r="40" spans="1:6" x14ac:dyDescent="0.35">
      <c r="A40" s="3" t="s">
        <v>65</v>
      </c>
      <c r="B40" s="4"/>
      <c r="C40" s="4">
        <v>59.53</v>
      </c>
      <c r="D40" s="4">
        <v>59.53</v>
      </c>
      <c r="E40">
        <f t="shared" si="0"/>
        <v>59.53</v>
      </c>
      <c r="F40">
        <f>VLOOKUP(A40, [1]Sheet1!$A$2:$D$185, 4, FALSE)</f>
        <v>33</v>
      </c>
    </row>
    <row r="41" spans="1:6" x14ac:dyDescent="0.35">
      <c r="A41" s="3" t="s">
        <v>69</v>
      </c>
      <c r="B41" s="4"/>
      <c r="C41" s="4">
        <v>70.17</v>
      </c>
      <c r="D41" s="4">
        <v>70.17</v>
      </c>
      <c r="E41">
        <f t="shared" si="0"/>
        <v>70.17</v>
      </c>
      <c r="F41">
        <f>VLOOKUP(A41, [1]Sheet1!$A$2:$D$185, 4, FALSE)</f>
        <v>24</v>
      </c>
    </row>
    <row r="42" spans="1:6" x14ac:dyDescent="0.35">
      <c r="A42" s="3" t="s">
        <v>67</v>
      </c>
      <c r="B42" s="4"/>
      <c r="C42" s="4">
        <v>78.56</v>
      </c>
      <c r="D42" s="4">
        <v>78.56</v>
      </c>
      <c r="E42">
        <f t="shared" si="0"/>
        <v>78.56</v>
      </c>
      <c r="F42">
        <f>VLOOKUP(A42, [1]Sheet1!$A$2:$D$185, 4, FALSE)</f>
        <v>31</v>
      </c>
    </row>
    <row r="43" spans="1:6" x14ac:dyDescent="0.35">
      <c r="A43" s="3" t="s">
        <v>83</v>
      </c>
      <c r="B43" s="4"/>
      <c r="C43" s="4">
        <v>67.31</v>
      </c>
      <c r="D43" s="4">
        <v>67.31</v>
      </c>
      <c r="E43">
        <f t="shared" si="0"/>
        <v>67.31</v>
      </c>
      <c r="F43">
        <f>VLOOKUP(A43, [1]Sheet1!$A$2:$D$185, 4, FALSE)</f>
        <v>76</v>
      </c>
    </row>
    <row r="44" spans="1:6" x14ac:dyDescent="0.35">
      <c r="A44" s="2" t="s">
        <v>87</v>
      </c>
      <c r="B44" s="4">
        <v>32.898000000000003</v>
      </c>
      <c r="C44" s="4">
        <v>42.807027027027026</v>
      </c>
      <c r="D44" s="4">
        <v>41.627380952380953</v>
      </c>
      <c r="E44">
        <f t="shared" si="0"/>
        <v>37.852513513513514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4174-BDD4-426E-8292-B1F35B5BCD56}">
  <dimension ref="A1:F38"/>
  <sheetViews>
    <sheetView tabSelected="1" topLeftCell="A19" workbookViewId="0">
      <selection activeCell="I36" sqref="I36"/>
    </sheetView>
  </sheetViews>
  <sheetFormatPr defaultRowHeight="14.5" x14ac:dyDescent="0.35"/>
  <cols>
    <col min="1" max="1" width="35" customWidth="1"/>
  </cols>
  <sheetData>
    <row r="1" spans="1:6" ht="43.5" x14ac:dyDescent="0.35">
      <c r="A1" s="6" t="s">
        <v>92</v>
      </c>
      <c r="B1" s="6" t="s">
        <v>93</v>
      </c>
      <c r="C1" s="6" t="s">
        <v>94</v>
      </c>
      <c r="D1" s="8" t="s">
        <v>23</v>
      </c>
      <c r="E1" s="6" t="s">
        <v>90</v>
      </c>
      <c r="F1" s="6" t="s">
        <v>91</v>
      </c>
    </row>
    <row r="2" spans="1:6" x14ac:dyDescent="0.35">
      <c r="A2" s="7" t="s">
        <v>11</v>
      </c>
      <c r="B2" s="3" t="s">
        <v>8</v>
      </c>
      <c r="C2" s="4">
        <v>28.34</v>
      </c>
      <c r="E2">
        <f t="shared" ref="E2:E38" si="0">AVERAGE(B2, C2)</f>
        <v>28.34</v>
      </c>
      <c r="F2">
        <v>32</v>
      </c>
    </row>
    <row r="3" spans="1:6" x14ac:dyDescent="0.35">
      <c r="A3" s="7" t="s">
        <v>11</v>
      </c>
      <c r="B3" s="3" t="s">
        <v>16</v>
      </c>
      <c r="C3" s="4">
        <v>10</v>
      </c>
      <c r="E3">
        <f t="shared" si="0"/>
        <v>10</v>
      </c>
      <c r="F3">
        <v>45</v>
      </c>
    </row>
    <row r="4" spans="1:6" x14ac:dyDescent="0.35">
      <c r="A4" s="7" t="s">
        <v>11</v>
      </c>
      <c r="B4" s="3" t="s">
        <v>25</v>
      </c>
      <c r="C4" s="4">
        <v>9.64</v>
      </c>
      <c r="E4">
        <f t="shared" si="0"/>
        <v>9.64</v>
      </c>
      <c r="F4">
        <v>57</v>
      </c>
    </row>
    <row r="5" spans="1:6" x14ac:dyDescent="0.35">
      <c r="A5" s="7" t="s">
        <v>11</v>
      </c>
      <c r="B5" s="3" t="s">
        <v>18</v>
      </c>
      <c r="C5" s="4">
        <v>12.86</v>
      </c>
      <c r="E5">
        <f t="shared" si="0"/>
        <v>12.86</v>
      </c>
      <c r="F5">
        <v>41</v>
      </c>
    </row>
    <row r="6" spans="1:6" x14ac:dyDescent="0.35">
      <c r="A6" s="7" t="s">
        <v>11</v>
      </c>
      <c r="B6" s="3" t="s">
        <v>31</v>
      </c>
      <c r="C6" s="4">
        <v>9.81</v>
      </c>
      <c r="E6">
        <f t="shared" si="0"/>
        <v>9.81</v>
      </c>
      <c r="F6">
        <v>26</v>
      </c>
    </row>
    <row r="7" spans="1:6" x14ac:dyDescent="0.35">
      <c r="A7" s="7" t="s">
        <v>11</v>
      </c>
      <c r="B7" s="3" t="s">
        <v>29</v>
      </c>
      <c r="C7" s="4">
        <v>2</v>
      </c>
      <c r="E7">
        <f t="shared" si="0"/>
        <v>2</v>
      </c>
      <c r="F7">
        <v>45</v>
      </c>
    </row>
    <row r="8" spans="1:6" x14ac:dyDescent="0.35">
      <c r="A8" s="7" t="s">
        <v>11</v>
      </c>
      <c r="B8" s="3" t="s">
        <v>41</v>
      </c>
      <c r="C8" s="4">
        <v>29.28</v>
      </c>
      <c r="E8">
        <f t="shared" si="0"/>
        <v>29.28</v>
      </c>
      <c r="F8">
        <v>42</v>
      </c>
    </row>
    <row r="9" spans="1:6" x14ac:dyDescent="0.35">
      <c r="A9" s="7" t="s">
        <v>11</v>
      </c>
      <c r="B9" s="3" t="s">
        <v>49</v>
      </c>
      <c r="C9" s="4">
        <v>29.28</v>
      </c>
      <c r="E9">
        <f t="shared" si="0"/>
        <v>29.28</v>
      </c>
      <c r="F9">
        <v>32</v>
      </c>
    </row>
    <row r="10" spans="1:6" x14ac:dyDescent="0.35">
      <c r="A10" s="7" t="s">
        <v>11</v>
      </c>
      <c r="B10" s="3" t="s">
        <v>51</v>
      </c>
      <c r="C10" s="4">
        <v>26.07</v>
      </c>
      <c r="E10">
        <f t="shared" si="0"/>
        <v>26.07</v>
      </c>
      <c r="F10">
        <v>27</v>
      </c>
    </row>
    <row r="11" spans="1:6" x14ac:dyDescent="0.35">
      <c r="A11" s="7" t="s">
        <v>11</v>
      </c>
      <c r="B11" s="3" t="s">
        <v>59</v>
      </c>
      <c r="C11" s="4">
        <v>27.91</v>
      </c>
      <c r="E11">
        <f t="shared" si="0"/>
        <v>27.91</v>
      </c>
      <c r="F11">
        <v>34</v>
      </c>
    </row>
    <row r="12" spans="1:6" x14ac:dyDescent="0.35">
      <c r="A12" s="7" t="s">
        <v>11</v>
      </c>
      <c r="B12" s="3" t="s">
        <v>53</v>
      </c>
      <c r="C12" s="4">
        <v>59.09</v>
      </c>
      <c r="E12">
        <f t="shared" si="0"/>
        <v>59.09</v>
      </c>
      <c r="F12">
        <v>37</v>
      </c>
    </row>
    <row r="13" spans="1:6" x14ac:dyDescent="0.35">
      <c r="A13" s="7" t="s">
        <v>11</v>
      </c>
      <c r="B13" s="3" t="s">
        <v>57</v>
      </c>
      <c r="C13" s="4">
        <v>28.94</v>
      </c>
      <c r="E13">
        <f t="shared" si="0"/>
        <v>28.94</v>
      </c>
      <c r="F13">
        <v>25</v>
      </c>
    </row>
    <row r="14" spans="1:6" x14ac:dyDescent="0.35">
      <c r="A14" s="7" t="s">
        <v>11</v>
      </c>
      <c r="B14" s="3" t="s">
        <v>61</v>
      </c>
      <c r="C14" s="4">
        <v>5.71</v>
      </c>
      <c r="E14">
        <f t="shared" si="0"/>
        <v>5.71</v>
      </c>
      <c r="F14">
        <v>49</v>
      </c>
    </row>
    <row r="15" spans="1:6" x14ac:dyDescent="0.35">
      <c r="A15" s="7" t="s">
        <v>11</v>
      </c>
      <c r="B15" s="3" t="s">
        <v>63</v>
      </c>
      <c r="C15" s="4">
        <v>32.26</v>
      </c>
      <c r="E15">
        <f t="shared" si="0"/>
        <v>32.26</v>
      </c>
      <c r="F15">
        <v>26</v>
      </c>
    </row>
    <row r="16" spans="1:6" x14ac:dyDescent="0.35">
      <c r="A16" s="7" t="s">
        <v>11</v>
      </c>
      <c r="B16" s="3" t="s">
        <v>71</v>
      </c>
      <c r="C16" s="4">
        <v>18.57</v>
      </c>
      <c r="E16">
        <f t="shared" si="0"/>
        <v>18.57</v>
      </c>
      <c r="F16">
        <v>57</v>
      </c>
    </row>
    <row r="17" spans="1:6" x14ac:dyDescent="0.35">
      <c r="A17" s="7" t="s">
        <v>11</v>
      </c>
      <c r="B17" s="3" t="s">
        <v>73</v>
      </c>
      <c r="C17" s="4">
        <v>36.67</v>
      </c>
      <c r="E17">
        <f t="shared" si="0"/>
        <v>36.67</v>
      </c>
      <c r="F17">
        <v>33</v>
      </c>
    </row>
    <row r="18" spans="1:6" x14ac:dyDescent="0.35">
      <c r="A18" s="7" t="s">
        <v>11</v>
      </c>
      <c r="B18" s="3" t="s">
        <v>85</v>
      </c>
      <c r="C18" s="4">
        <v>47.83</v>
      </c>
      <c r="E18">
        <f t="shared" si="0"/>
        <v>47.83</v>
      </c>
      <c r="F18">
        <v>41</v>
      </c>
    </row>
    <row r="19" spans="1:6" x14ac:dyDescent="0.35">
      <c r="A19" s="7" t="s">
        <v>11</v>
      </c>
      <c r="B19" s="3" t="s">
        <v>77</v>
      </c>
      <c r="C19" s="4">
        <v>12.29</v>
      </c>
      <c r="E19">
        <f t="shared" si="0"/>
        <v>12.29</v>
      </c>
      <c r="F19">
        <v>32</v>
      </c>
    </row>
    <row r="20" spans="1:6" x14ac:dyDescent="0.35">
      <c r="A20" s="7" t="s">
        <v>11</v>
      </c>
      <c r="B20" s="3" t="s">
        <v>79</v>
      </c>
      <c r="C20" s="4">
        <v>41.43</v>
      </c>
      <c r="E20">
        <f t="shared" si="0"/>
        <v>41.43</v>
      </c>
      <c r="F20">
        <v>39</v>
      </c>
    </row>
    <row r="21" spans="1:6" x14ac:dyDescent="0.35">
      <c r="A21" s="7" t="s">
        <v>11</v>
      </c>
      <c r="B21" s="3" t="s">
        <v>81</v>
      </c>
      <c r="C21" s="4">
        <v>41.31</v>
      </c>
      <c r="E21">
        <f t="shared" si="0"/>
        <v>41.31</v>
      </c>
      <c r="F21">
        <v>26</v>
      </c>
    </row>
    <row r="22" spans="1:6" x14ac:dyDescent="0.35">
      <c r="A22" t="s">
        <v>14</v>
      </c>
      <c r="B22" s="3" t="s">
        <v>13</v>
      </c>
      <c r="C22" s="4">
        <v>74.97</v>
      </c>
      <c r="D22" s="4"/>
      <c r="E22">
        <f t="shared" si="0"/>
        <v>74.97</v>
      </c>
      <c r="F22">
        <v>37</v>
      </c>
    </row>
    <row r="23" spans="1:6" x14ac:dyDescent="0.35">
      <c r="A23" t="s">
        <v>14</v>
      </c>
      <c r="B23" s="3" t="s">
        <v>20</v>
      </c>
      <c r="C23" s="4">
        <v>27.63</v>
      </c>
      <c r="D23" s="4"/>
      <c r="E23">
        <f t="shared" si="0"/>
        <v>27.63</v>
      </c>
      <c r="F23">
        <v>28</v>
      </c>
    </row>
    <row r="24" spans="1:6" x14ac:dyDescent="0.35">
      <c r="A24" t="s">
        <v>14</v>
      </c>
      <c r="B24" s="3" t="s">
        <v>22</v>
      </c>
      <c r="C24" s="4">
        <v>88.74</v>
      </c>
      <c r="D24" s="4">
        <v>14.78</v>
      </c>
      <c r="E24">
        <f t="shared" si="0"/>
        <v>88.74</v>
      </c>
      <c r="F24">
        <v>34</v>
      </c>
    </row>
    <row r="25" spans="1:6" x14ac:dyDescent="0.35">
      <c r="A25" t="s">
        <v>14</v>
      </c>
      <c r="B25" s="3" t="s">
        <v>27</v>
      </c>
      <c r="C25" s="4">
        <v>76.599999999999994</v>
      </c>
      <c r="D25" s="4">
        <v>88.63</v>
      </c>
      <c r="E25">
        <f t="shared" si="0"/>
        <v>76.599999999999994</v>
      </c>
      <c r="F25">
        <v>63</v>
      </c>
    </row>
    <row r="26" spans="1:6" x14ac:dyDescent="0.35">
      <c r="A26" t="s">
        <v>14</v>
      </c>
      <c r="B26" s="3" t="s">
        <v>33</v>
      </c>
      <c r="C26" s="4">
        <v>64.900000000000006</v>
      </c>
      <c r="D26" s="4">
        <v>26.46</v>
      </c>
      <c r="E26">
        <f t="shared" si="0"/>
        <v>64.900000000000006</v>
      </c>
      <c r="F26">
        <v>39</v>
      </c>
    </row>
    <row r="27" spans="1:6" x14ac:dyDescent="0.35">
      <c r="A27" t="s">
        <v>14</v>
      </c>
      <c r="B27" s="3" t="s">
        <v>35</v>
      </c>
      <c r="C27" s="4">
        <v>65.45</v>
      </c>
      <c r="D27" s="4">
        <v>3.77</v>
      </c>
      <c r="E27">
        <f t="shared" si="0"/>
        <v>65.45</v>
      </c>
      <c r="F27">
        <v>58</v>
      </c>
    </row>
    <row r="28" spans="1:6" x14ac:dyDescent="0.35">
      <c r="A28" t="s">
        <v>14</v>
      </c>
      <c r="B28" s="3" t="s">
        <v>37</v>
      </c>
      <c r="C28" s="4">
        <v>64.010000000000005</v>
      </c>
      <c r="D28" s="4"/>
      <c r="E28">
        <f t="shared" si="0"/>
        <v>64.010000000000005</v>
      </c>
      <c r="F28">
        <v>36</v>
      </c>
    </row>
    <row r="29" spans="1:6" x14ac:dyDescent="0.35">
      <c r="A29" t="s">
        <v>14</v>
      </c>
      <c r="B29" s="3" t="s">
        <v>39</v>
      </c>
      <c r="C29" s="4">
        <v>53.94</v>
      </c>
      <c r="D29" s="4"/>
      <c r="E29">
        <f t="shared" si="0"/>
        <v>53.94</v>
      </c>
      <c r="F29">
        <v>32</v>
      </c>
    </row>
    <row r="30" spans="1:6" x14ac:dyDescent="0.35">
      <c r="A30" t="s">
        <v>14</v>
      </c>
      <c r="B30" s="3" t="s">
        <v>75</v>
      </c>
      <c r="C30" s="4">
        <v>27.24</v>
      </c>
      <c r="D30" s="4"/>
      <c r="E30">
        <f t="shared" si="0"/>
        <v>27.24</v>
      </c>
      <c r="F30">
        <v>30</v>
      </c>
    </row>
    <row r="31" spans="1:6" x14ac:dyDescent="0.35">
      <c r="A31" t="s">
        <v>14</v>
      </c>
      <c r="B31" s="3" t="s">
        <v>43</v>
      </c>
      <c r="C31" s="4">
        <v>76.95</v>
      </c>
      <c r="D31" s="4"/>
      <c r="E31">
        <f t="shared" si="0"/>
        <v>76.95</v>
      </c>
      <c r="F31">
        <v>25</v>
      </c>
    </row>
    <row r="32" spans="1:6" x14ac:dyDescent="0.35">
      <c r="A32" t="s">
        <v>14</v>
      </c>
      <c r="B32" s="3" t="s">
        <v>45</v>
      </c>
      <c r="C32" s="4">
        <v>64.59</v>
      </c>
      <c r="D32" s="4"/>
      <c r="E32">
        <f t="shared" si="0"/>
        <v>64.59</v>
      </c>
      <c r="F32">
        <v>22</v>
      </c>
    </row>
    <row r="33" spans="1:6" x14ac:dyDescent="0.35">
      <c r="A33" t="s">
        <v>14</v>
      </c>
      <c r="B33" s="3" t="s">
        <v>47</v>
      </c>
      <c r="C33" s="4">
        <v>52.07</v>
      </c>
      <c r="D33" s="4"/>
      <c r="E33">
        <f t="shared" si="0"/>
        <v>52.07</v>
      </c>
      <c r="F33">
        <v>44</v>
      </c>
    </row>
    <row r="34" spans="1:6" x14ac:dyDescent="0.35">
      <c r="A34" t="s">
        <v>14</v>
      </c>
      <c r="B34" s="3" t="s">
        <v>55</v>
      </c>
      <c r="C34" s="4">
        <v>61.91</v>
      </c>
      <c r="D34" s="4">
        <v>30.85</v>
      </c>
      <c r="E34">
        <f t="shared" si="0"/>
        <v>61.91</v>
      </c>
      <c r="F34">
        <v>26</v>
      </c>
    </row>
    <row r="35" spans="1:6" x14ac:dyDescent="0.35">
      <c r="A35" t="s">
        <v>14</v>
      </c>
      <c r="B35" s="3" t="s">
        <v>65</v>
      </c>
      <c r="C35" s="4">
        <v>59.53</v>
      </c>
      <c r="D35" s="4"/>
      <c r="E35">
        <f t="shared" si="0"/>
        <v>59.53</v>
      </c>
      <c r="F35">
        <v>33</v>
      </c>
    </row>
    <row r="36" spans="1:6" x14ac:dyDescent="0.35">
      <c r="A36" t="s">
        <v>14</v>
      </c>
      <c r="B36" s="3" t="s">
        <v>69</v>
      </c>
      <c r="C36" s="4">
        <v>70.17</v>
      </c>
      <c r="D36" s="4"/>
      <c r="E36">
        <f t="shared" si="0"/>
        <v>70.17</v>
      </c>
      <c r="F36">
        <v>24</v>
      </c>
    </row>
    <row r="37" spans="1:6" x14ac:dyDescent="0.35">
      <c r="A37" t="s">
        <v>14</v>
      </c>
      <c r="B37" s="3" t="s">
        <v>67</v>
      </c>
      <c r="C37" s="4">
        <v>78.56</v>
      </c>
      <c r="D37" s="4"/>
      <c r="E37">
        <f t="shared" si="0"/>
        <v>78.56</v>
      </c>
      <c r="F37">
        <v>31</v>
      </c>
    </row>
    <row r="38" spans="1:6" x14ac:dyDescent="0.35">
      <c r="A38" t="s">
        <v>14</v>
      </c>
      <c r="B38" s="3" t="s">
        <v>83</v>
      </c>
      <c r="C38" s="4">
        <v>67.31</v>
      </c>
      <c r="D38" s="4"/>
      <c r="E38">
        <f t="shared" si="0"/>
        <v>67.31</v>
      </c>
      <c r="F38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6155-B427-4CE7-AC33-90151CCEBF45}">
  <dimension ref="A1:G43"/>
  <sheetViews>
    <sheetView workbookViewId="0">
      <selection activeCell="D11" sqref="D11"/>
    </sheetView>
  </sheetViews>
  <sheetFormatPr defaultRowHeight="14.5" x14ac:dyDescent="0.35"/>
  <cols>
    <col min="3" max="3" width="26.26953125" customWidth="1"/>
    <col min="4" max="4" width="26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0</v>
      </c>
      <c r="F2">
        <v>28.34</v>
      </c>
      <c r="G2" t="s">
        <v>11</v>
      </c>
    </row>
    <row r="3" spans="1:7" x14ac:dyDescent="0.35">
      <c r="A3" t="s">
        <v>12</v>
      </c>
      <c r="B3" t="s">
        <v>13</v>
      </c>
      <c r="C3" t="s">
        <v>9</v>
      </c>
      <c r="D3" t="s">
        <v>10</v>
      </c>
      <c r="E3">
        <v>0</v>
      </c>
      <c r="F3">
        <v>74.97</v>
      </c>
      <c r="G3" t="s">
        <v>14</v>
      </c>
    </row>
    <row r="4" spans="1:7" x14ac:dyDescent="0.35">
      <c r="A4" t="s">
        <v>15</v>
      </c>
      <c r="B4" t="s">
        <v>16</v>
      </c>
      <c r="C4" t="s">
        <v>9</v>
      </c>
      <c r="D4" t="s">
        <v>10</v>
      </c>
      <c r="E4">
        <v>0</v>
      </c>
      <c r="F4">
        <v>10</v>
      </c>
      <c r="G4" t="s">
        <v>11</v>
      </c>
    </row>
    <row r="5" spans="1:7" x14ac:dyDescent="0.35">
      <c r="A5" t="s">
        <v>17</v>
      </c>
      <c r="B5" t="s">
        <v>18</v>
      </c>
      <c r="C5" t="s">
        <v>9</v>
      </c>
      <c r="D5" t="s">
        <v>10</v>
      </c>
      <c r="E5">
        <v>0</v>
      </c>
      <c r="F5">
        <v>12.86</v>
      </c>
      <c r="G5" t="s">
        <v>11</v>
      </c>
    </row>
    <row r="6" spans="1:7" x14ac:dyDescent="0.35">
      <c r="A6" t="s">
        <v>19</v>
      </c>
      <c r="B6" t="s">
        <v>20</v>
      </c>
      <c r="C6" t="s">
        <v>9</v>
      </c>
      <c r="D6" t="s">
        <v>10</v>
      </c>
      <c r="E6">
        <v>0</v>
      </c>
      <c r="F6">
        <v>27.63</v>
      </c>
      <c r="G6" t="s">
        <v>14</v>
      </c>
    </row>
    <row r="7" spans="1:7" x14ac:dyDescent="0.35">
      <c r="A7" t="s">
        <v>21</v>
      </c>
      <c r="B7" t="s">
        <v>22</v>
      </c>
      <c r="C7" t="s">
        <v>9</v>
      </c>
      <c r="D7" t="s">
        <v>23</v>
      </c>
      <c r="E7">
        <v>0</v>
      </c>
      <c r="F7">
        <v>14.78</v>
      </c>
      <c r="G7" t="s">
        <v>14</v>
      </c>
    </row>
    <row r="8" spans="1:7" x14ac:dyDescent="0.35">
      <c r="A8" t="s">
        <v>21</v>
      </c>
      <c r="B8" t="s">
        <v>22</v>
      </c>
      <c r="C8" t="s">
        <v>9</v>
      </c>
      <c r="D8" t="s">
        <v>10</v>
      </c>
      <c r="E8">
        <v>0</v>
      </c>
      <c r="F8">
        <v>88.74</v>
      </c>
      <c r="G8" t="s">
        <v>14</v>
      </c>
    </row>
    <row r="9" spans="1:7" x14ac:dyDescent="0.35">
      <c r="A9" t="s">
        <v>24</v>
      </c>
      <c r="B9" t="s">
        <v>25</v>
      </c>
      <c r="C9" t="s">
        <v>9</v>
      </c>
      <c r="D9" t="s">
        <v>10</v>
      </c>
      <c r="E9">
        <v>0</v>
      </c>
      <c r="F9">
        <v>9.64</v>
      </c>
      <c r="G9" t="s">
        <v>11</v>
      </c>
    </row>
    <row r="10" spans="1:7" x14ac:dyDescent="0.35">
      <c r="A10" t="s">
        <v>26</v>
      </c>
      <c r="B10" t="s">
        <v>27</v>
      </c>
      <c r="C10" t="s">
        <v>9</v>
      </c>
      <c r="D10" t="s">
        <v>23</v>
      </c>
      <c r="E10">
        <v>0</v>
      </c>
      <c r="F10">
        <v>88.63</v>
      </c>
      <c r="G10" t="s">
        <v>14</v>
      </c>
    </row>
    <row r="11" spans="1:7" x14ac:dyDescent="0.35">
      <c r="A11" t="s">
        <v>26</v>
      </c>
      <c r="B11" t="s">
        <v>27</v>
      </c>
      <c r="C11" t="s">
        <v>9</v>
      </c>
      <c r="D11" t="s">
        <v>10</v>
      </c>
      <c r="E11">
        <v>0</v>
      </c>
      <c r="F11">
        <v>76.599999999999994</v>
      </c>
      <c r="G11" t="s">
        <v>14</v>
      </c>
    </row>
    <row r="12" spans="1:7" x14ac:dyDescent="0.35">
      <c r="A12" t="s">
        <v>28</v>
      </c>
      <c r="B12" t="s">
        <v>29</v>
      </c>
      <c r="C12" t="s">
        <v>9</v>
      </c>
      <c r="D12" t="s">
        <v>10</v>
      </c>
      <c r="E12">
        <v>0</v>
      </c>
      <c r="F12">
        <v>2</v>
      </c>
      <c r="G12" t="s">
        <v>11</v>
      </c>
    </row>
    <row r="13" spans="1:7" x14ac:dyDescent="0.35">
      <c r="A13" t="s">
        <v>30</v>
      </c>
      <c r="B13" t="s">
        <v>31</v>
      </c>
      <c r="C13" t="s">
        <v>9</v>
      </c>
      <c r="D13" t="s">
        <v>10</v>
      </c>
      <c r="E13">
        <v>0</v>
      </c>
      <c r="F13">
        <v>9.81</v>
      </c>
      <c r="G13" t="s">
        <v>11</v>
      </c>
    </row>
    <row r="14" spans="1:7" x14ac:dyDescent="0.35">
      <c r="A14" t="s">
        <v>32</v>
      </c>
      <c r="B14" t="s">
        <v>33</v>
      </c>
      <c r="C14" t="s">
        <v>9</v>
      </c>
      <c r="D14" t="s">
        <v>23</v>
      </c>
      <c r="E14">
        <v>0</v>
      </c>
      <c r="F14">
        <v>26.46</v>
      </c>
      <c r="G14" t="s">
        <v>14</v>
      </c>
    </row>
    <row r="15" spans="1:7" x14ac:dyDescent="0.35">
      <c r="A15" t="s">
        <v>32</v>
      </c>
      <c r="B15" t="s">
        <v>33</v>
      </c>
      <c r="C15" t="s">
        <v>9</v>
      </c>
      <c r="D15" t="s">
        <v>10</v>
      </c>
      <c r="E15">
        <v>0</v>
      </c>
      <c r="F15">
        <v>64.900000000000006</v>
      </c>
      <c r="G15" t="s">
        <v>14</v>
      </c>
    </row>
    <row r="16" spans="1:7" x14ac:dyDescent="0.35">
      <c r="A16" t="s">
        <v>34</v>
      </c>
      <c r="B16" t="s">
        <v>35</v>
      </c>
      <c r="C16" t="s">
        <v>9</v>
      </c>
      <c r="D16" t="s">
        <v>23</v>
      </c>
      <c r="E16">
        <v>0</v>
      </c>
      <c r="F16">
        <v>3.77</v>
      </c>
      <c r="G16" t="s">
        <v>14</v>
      </c>
    </row>
    <row r="17" spans="1:7" x14ac:dyDescent="0.35">
      <c r="A17" t="s">
        <v>34</v>
      </c>
      <c r="B17" t="s">
        <v>35</v>
      </c>
      <c r="C17" t="s">
        <v>9</v>
      </c>
      <c r="D17" t="s">
        <v>10</v>
      </c>
      <c r="E17">
        <v>0</v>
      </c>
      <c r="F17">
        <v>65.45</v>
      </c>
      <c r="G17" t="s">
        <v>14</v>
      </c>
    </row>
    <row r="18" spans="1:7" x14ac:dyDescent="0.35">
      <c r="A18" t="s">
        <v>36</v>
      </c>
      <c r="B18" t="s">
        <v>37</v>
      </c>
      <c r="C18" t="s">
        <v>9</v>
      </c>
      <c r="D18" t="s">
        <v>10</v>
      </c>
      <c r="E18">
        <v>0</v>
      </c>
      <c r="F18">
        <v>64.010000000000005</v>
      </c>
      <c r="G18" t="s">
        <v>14</v>
      </c>
    </row>
    <row r="19" spans="1:7" x14ac:dyDescent="0.35">
      <c r="A19" t="s">
        <v>38</v>
      </c>
      <c r="B19" t="s">
        <v>39</v>
      </c>
      <c r="C19" t="s">
        <v>9</v>
      </c>
      <c r="D19" t="s">
        <v>10</v>
      </c>
      <c r="E19">
        <v>0</v>
      </c>
      <c r="F19">
        <v>53.94</v>
      </c>
      <c r="G19" t="s">
        <v>14</v>
      </c>
    </row>
    <row r="20" spans="1:7" x14ac:dyDescent="0.35">
      <c r="A20" t="s">
        <v>40</v>
      </c>
      <c r="B20" t="s">
        <v>41</v>
      </c>
      <c r="C20" t="s">
        <v>9</v>
      </c>
      <c r="D20" t="s">
        <v>10</v>
      </c>
      <c r="E20">
        <v>0</v>
      </c>
      <c r="F20">
        <v>29.28</v>
      </c>
      <c r="G20" t="s">
        <v>11</v>
      </c>
    </row>
    <row r="21" spans="1:7" x14ac:dyDescent="0.35">
      <c r="A21" t="s">
        <v>42</v>
      </c>
      <c r="B21" t="s">
        <v>43</v>
      </c>
      <c r="C21" t="s">
        <v>9</v>
      </c>
      <c r="D21" t="s">
        <v>10</v>
      </c>
      <c r="E21">
        <v>0</v>
      </c>
      <c r="F21">
        <v>76.95</v>
      </c>
      <c r="G21" t="s">
        <v>14</v>
      </c>
    </row>
    <row r="22" spans="1:7" x14ac:dyDescent="0.35">
      <c r="A22" t="s">
        <v>44</v>
      </c>
      <c r="B22" t="s">
        <v>45</v>
      </c>
      <c r="C22" t="s">
        <v>9</v>
      </c>
      <c r="D22" t="s">
        <v>10</v>
      </c>
      <c r="E22">
        <v>0</v>
      </c>
      <c r="F22">
        <v>64.59</v>
      </c>
      <c r="G22" t="s">
        <v>14</v>
      </c>
    </row>
    <row r="23" spans="1:7" x14ac:dyDescent="0.35">
      <c r="A23" t="s">
        <v>46</v>
      </c>
      <c r="B23" t="s">
        <v>47</v>
      </c>
      <c r="C23" t="s">
        <v>9</v>
      </c>
      <c r="D23" t="s">
        <v>10</v>
      </c>
      <c r="E23">
        <v>0</v>
      </c>
      <c r="F23">
        <v>52.07</v>
      </c>
      <c r="G23" t="s">
        <v>14</v>
      </c>
    </row>
    <row r="24" spans="1:7" x14ac:dyDescent="0.35">
      <c r="A24" t="s">
        <v>48</v>
      </c>
      <c r="B24" t="s">
        <v>49</v>
      </c>
      <c r="C24" t="s">
        <v>9</v>
      </c>
      <c r="D24" t="s">
        <v>10</v>
      </c>
      <c r="E24">
        <v>0</v>
      </c>
      <c r="F24">
        <v>29.28</v>
      </c>
      <c r="G24" t="s">
        <v>11</v>
      </c>
    </row>
    <row r="25" spans="1:7" x14ac:dyDescent="0.35">
      <c r="A25" t="s">
        <v>50</v>
      </c>
      <c r="B25" t="s">
        <v>51</v>
      </c>
      <c r="C25" t="s">
        <v>9</v>
      </c>
      <c r="D25" t="s">
        <v>10</v>
      </c>
      <c r="E25">
        <v>0</v>
      </c>
      <c r="F25">
        <v>26.07</v>
      </c>
      <c r="G25" t="s">
        <v>11</v>
      </c>
    </row>
    <row r="26" spans="1:7" x14ac:dyDescent="0.35">
      <c r="A26" t="s">
        <v>52</v>
      </c>
      <c r="B26" t="s">
        <v>53</v>
      </c>
      <c r="C26" t="s">
        <v>9</v>
      </c>
      <c r="D26" t="s">
        <v>10</v>
      </c>
      <c r="E26">
        <v>0</v>
      </c>
      <c r="F26">
        <v>59.09</v>
      </c>
      <c r="G26" t="s">
        <v>11</v>
      </c>
    </row>
    <row r="27" spans="1:7" x14ac:dyDescent="0.35">
      <c r="A27" t="s">
        <v>54</v>
      </c>
      <c r="B27" t="s">
        <v>55</v>
      </c>
      <c r="C27" t="s">
        <v>9</v>
      </c>
      <c r="D27" t="s">
        <v>23</v>
      </c>
      <c r="E27">
        <v>0</v>
      </c>
      <c r="F27">
        <v>30.85</v>
      </c>
      <c r="G27" t="s">
        <v>14</v>
      </c>
    </row>
    <row r="28" spans="1:7" x14ac:dyDescent="0.35">
      <c r="A28" t="s">
        <v>54</v>
      </c>
      <c r="B28" t="s">
        <v>55</v>
      </c>
      <c r="C28" t="s">
        <v>9</v>
      </c>
      <c r="D28" t="s">
        <v>10</v>
      </c>
      <c r="E28">
        <v>0</v>
      </c>
      <c r="F28">
        <v>61.91</v>
      </c>
      <c r="G28" t="s">
        <v>14</v>
      </c>
    </row>
    <row r="29" spans="1:7" x14ac:dyDescent="0.35">
      <c r="A29" t="s">
        <v>56</v>
      </c>
      <c r="B29" t="s">
        <v>57</v>
      </c>
      <c r="C29" t="s">
        <v>9</v>
      </c>
      <c r="D29" t="s">
        <v>10</v>
      </c>
      <c r="E29">
        <v>0</v>
      </c>
      <c r="F29">
        <v>28.94</v>
      </c>
      <c r="G29" t="s">
        <v>11</v>
      </c>
    </row>
    <row r="30" spans="1:7" x14ac:dyDescent="0.35">
      <c r="A30" t="s">
        <v>58</v>
      </c>
      <c r="B30" t="s">
        <v>59</v>
      </c>
      <c r="C30" t="s">
        <v>9</v>
      </c>
      <c r="D30" t="s">
        <v>10</v>
      </c>
      <c r="E30">
        <v>0</v>
      </c>
      <c r="F30">
        <v>27.91</v>
      </c>
      <c r="G30" t="s">
        <v>11</v>
      </c>
    </row>
    <row r="31" spans="1:7" x14ac:dyDescent="0.35">
      <c r="A31" t="s">
        <v>60</v>
      </c>
      <c r="B31" t="s">
        <v>61</v>
      </c>
      <c r="C31" t="s">
        <v>9</v>
      </c>
      <c r="D31" t="s">
        <v>10</v>
      </c>
      <c r="E31">
        <v>0</v>
      </c>
      <c r="F31">
        <v>5.71</v>
      </c>
      <c r="G31" t="s">
        <v>11</v>
      </c>
    </row>
    <row r="32" spans="1:7" x14ac:dyDescent="0.35">
      <c r="A32" t="s">
        <v>62</v>
      </c>
      <c r="B32" t="s">
        <v>63</v>
      </c>
      <c r="C32" t="s">
        <v>9</v>
      </c>
      <c r="D32" t="s">
        <v>10</v>
      </c>
      <c r="E32">
        <v>0</v>
      </c>
      <c r="F32">
        <v>32.26</v>
      </c>
      <c r="G32" t="s">
        <v>11</v>
      </c>
    </row>
    <row r="33" spans="1:7" x14ac:dyDescent="0.35">
      <c r="A33" t="s">
        <v>64</v>
      </c>
      <c r="B33" t="s">
        <v>65</v>
      </c>
      <c r="C33" t="s">
        <v>9</v>
      </c>
      <c r="D33" t="s">
        <v>10</v>
      </c>
      <c r="E33">
        <v>0</v>
      </c>
      <c r="F33">
        <v>59.53</v>
      </c>
      <c r="G33" t="s">
        <v>14</v>
      </c>
    </row>
    <row r="34" spans="1:7" x14ac:dyDescent="0.35">
      <c r="A34" t="s">
        <v>66</v>
      </c>
      <c r="B34" t="s">
        <v>67</v>
      </c>
      <c r="C34" t="s">
        <v>9</v>
      </c>
      <c r="D34" t="s">
        <v>10</v>
      </c>
      <c r="E34">
        <v>0</v>
      </c>
      <c r="F34">
        <v>78.56</v>
      </c>
      <c r="G34" t="s">
        <v>14</v>
      </c>
    </row>
    <row r="35" spans="1:7" x14ac:dyDescent="0.35">
      <c r="A35" t="s">
        <v>68</v>
      </c>
      <c r="B35" t="s">
        <v>69</v>
      </c>
      <c r="C35" t="s">
        <v>9</v>
      </c>
      <c r="D35" t="s">
        <v>10</v>
      </c>
      <c r="E35">
        <v>0</v>
      </c>
      <c r="F35">
        <v>70.17</v>
      </c>
      <c r="G35" t="s">
        <v>14</v>
      </c>
    </row>
    <row r="36" spans="1:7" x14ac:dyDescent="0.35">
      <c r="A36" t="s">
        <v>70</v>
      </c>
      <c r="B36" t="s">
        <v>71</v>
      </c>
      <c r="C36" t="s">
        <v>9</v>
      </c>
      <c r="D36" t="s">
        <v>10</v>
      </c>
      <c r="E36">
        <v>0</v>
      </c>
      <c r="F36">
        <v>18.57</v>
      </c>
      <c r="G36" t="s">
        <v>11</v>
      </c>
    </row>
    <row r="37" spans="1:7" x14ac:dyDescent="0.35">
      <c r="A37" t="s">
        <v>72</v>
      </c>
      <c r="B37" t="s">
        <v>73</v>
      </c>
      <c r="C37" t="s">
        <v>9</v>
      </c>
      <c r="D37" t="s">
        <v>10</v>
      </c>
      <c r="E37">
        <v>0</v>
      </c>
      <c r="F37">
        <v>36.67</v>
      </c>
      <c r="G37" t="s">
        <v>11</v>
      </c>
    </row>
    <row r="38" spans="1:7" x14ac:dyDescent="0.35">
      <c r="A38" t="s">
        <v>74</v>
      </c>
      <c r="B38" t="s">
        <v>75</v>
      </c>
      <c r="C38" t="s">
        <v>9</v>
      </c>
      <c r="D38" t="s">
        <v>10</v>
      </c>
      <c r="E38">
        <v>0</v>
      </c>
      <c r="F38">
        <v>27.24</v>
      </c>
      <c r="G38" t="s">
        <v>14</v>
      </c>
    </row>
    <row r="39" spans="1:7" x14ac:dyDescent="0.35">
      <c r="A39" t="s">
        <v>76</v>
      </c>
      <c r="B39" t="s">
        <v>77</v>
      </c>
      <c r="C39" t="s">
        <v>9</v>
      </c>
      <c r="D39" t="s">
        <v>10</v>
      </c>
      <c r="E39">
        <v>0</v>
      </c>
      <c r="F39">
        <v>12.29</v>
      </c>
      <c r="G39" t="s">
        <v>11</v>
      </c>
    </row>
    <row r="40" spans="1:7" x14ac:dyDescent="0.35">
      <c r="A40" t="s">
        <v>78</v>
      </c>
      <c r="B40" t="s">
        <v>79</v>
      </c>
      <c r="C40" t="s">
        <v>9</v>
      </c>
      <c r="D40" t="s">
        <v>10</v>
      </c>
      <c r="E40">
        <v>0</v>
      </c>
      <c r="F40">
        <v>41.43</v>
      </c>
      <c r="G40" t="s">
        <v>11</v>
      </c>
    </row>
    <row r="41" spans="1:7" x14ac:dyDescent="0.35">
      <c r="A41" t="s">
        <v>80</v>
      </c>
      <c r="B41" t="s">
        <v>81</v>
      </c>
      <c r="C41" t="s">
        <v>9</v>
      </c>
      <c r="D41" t="s">
        <v>10</v>
      </c>
      <c r="E41">
        <v>0</v>
      </c>
      <c r="F41">
        <v>41.31</v>
      </c>
      <c r="G41" t="s">
        <v>11</v>
      </c>
    </row>
    <row r="42" spans="1:7" x14ac:dyDescent="0.35">
      <c r="A42" t="s">
        <v>82</v>
      </c>
      <c r="B42" t="s">
        <v>83</v>
      </c>
      <c r="C42" t="s">
        <v>9</v>
      </c>
      <c r="D42" t="s">
        <v>10</v>
      </c>
      <c r="E42">
        <v>0</v>
      </c>
      <c r="F42">
        <v>67.31</v>
      </c>
      <c r="G42" t="s">
        <v>14</v>
      </c>
    </row>
    <row r="43" spans="1:7" x14ac:dyDescent="0.35">
      <c r="A43" t="s">
        <v>84</v>
      </c>
      <c r="B43" t="s">
        <v>85</v>
      </c>
      <c r="C43" t="s">
        <v>9</v>
      </c>
      <c r="D43" t="s">
        <v>10</v>
      </c>
      <c r="E43">
        <v>0</v>
      </c>
      <c r="F43">
        <v>47.83</v>
      </c>
      <c r="G4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15FE-08A9-465B-A235-A53702C1598E}">
  <dimension ref="A1:F42"/>
  <sheetViews>
    <sheetView topLeftCell="A7" workbookViewId="0">
      <selection activeCell="F20" sqref="F20"/>
    </sheetView>
  </sheetViews>
  <sheetFormatPr defaultRowHeight="14.5" x14ac:dyDescent="0.35"/>
  <sheetData>
    <row r="1" spans="1:6" x14ac:dyDescent="0.35">
      <c r="A1" s="1" t="s">
        <v>89</v>
      </c>
      <c r="B1" s="1" t="s">
        <v>88</v>
      </c>
    </row>
    <row r="2" spans="1:6" x14ac:dyDescent="0.35">
      <c r="A2" s="1" t="s">
        <v>86</v>
      </c>
      <c r="B2" t="s">
        <v>23</v>
      </c>
      <c r="C2" t="s">
        <v>10</v>
      </c>
      <c r="D2" t="s">
        <v>87</v>
      </c>
      <c r="E2" s="5" t="s">
        <v>90</v>
      </c>
      <c r="F2" s="5" t="s">
        <v>91</v>
      </c>
    </row>
    <row r="3" spans="1:6" x14ac:dyDescent="0.35">
      <c r="A3" s="2" t="s">
        <v>11</v>
      </c>
      <c r="B3" s="4"/>
      <c r="C3" s="4">
        <v>25.464500000000001</v>
      </c>
      <c r="D3" s="4">
        <v>25.464500000000001</v>
      </c>
      <c r="E3">
        <f>AVERAGE(B3, C3)</f>
        <v>25.464500000000001</v>
      </c>
    </row>
    <row r="4" spans="1:6" x14ac:dyDescent="0.35">
      <c r="A4" s="3" t="s">
        <v>8</v>
      </c>
      <c r="B4" s="4"/>
      <c r="C4" s="4">
        <v>28.34</v>
      </c>
      <c r="D4" s="4">
        <v>28.34</v>
      </c>
      <c r="E4">
        <f t="shared" ref="E4:E42" si="0">AVERAGE(B4, C4)</f>
        <v>28.34</v>
      </c>
      <c r="F4">
        <f>VLOOKUP(A4, [1]Sheet1!$A$2:$D$185, 4, FALSE)</f>
        <v>32</v>
      </c>
    </row>
    <row r="5" spans="1:6" x14ac:dyDescent="0.35">
      <c r="A5" s="3" t="s">
        <v>16</v>
      </c>
      <c r="B5" s="4"/>
      <c r="C5" s="4">
        <v>10</v>
      </c>
      <c r="D5" s="4">
        <v>10</v>
      </c>
      <c r="E5">
        <f t="shared" si="0"/>
        <v>10</v>
      </c>
      <c r="F5">
        <f>VLOOKUP(A5, [1]Sheet1!$A$2:$D$185, 4, FALSE)</f>
        <v>45</v>
      </c>
    </row>
    <row r="6" spans="1:6" x14ac:dyDescent="0.35">
      <c r="A6" s="3" t="s">
        <v>25</v>
      </c>
      <c r="B6" s="4"/>
      <c r="C6" s="4">
        <v>9.64</v>
      </c>
      <c r="D6" s="4">
        <v>9.64</v>
      </c>
      <c r="E6">
        <f t="shared" si="0"/>
        <v>9.64</v>
      </c>
      <c r="F6">
        <f>VLOOKUP(A6, [1]Sheet1!$A$2:$D$185, 4, FALSE)</f>
        <v>57</v>
      </c>
    </row>
    <row r="7" spans="1:6" x14ac:dyDescent="0.35">
      <c r="A7" s="3" t="s">
        <v>18</v>
      </c>
      <c r="B7" s="4"/>
      <c r="C7" s="4">
        <v>12.86</v>
      </c>
      <c r="D7" s="4">
        <v>12.86</v>
      </c>
      <c r="E7">
        <f t="shared" si="0"/>
        <v>12.86</v>
      </c>
      <c r="F7">
        <f>VLOOKUP(A7, [1]Sheet1!$A$2:$D$185, 4, FALSE)</f>
        <v>41</v>
      </c>
    </row>
    <row r="8" spans="1:6" x14ac:dyDescent="0.35">
      <c r="A8" s="3" t="s">
        <v>31</v>
      </c>
      <c r="B8" s="4"/>
      <c r="C8" s="4">
        <v>9.81</v>
      </c>
      <c r="D8" s="4">
        <v>9.81</v>
      </c>
      <c r="E8">
        <f t="shared" si="0"/>
        <v>9.81</v>
      </c>
      <c r="F8">
        <f>VLOOKUP(A8, [1]Sheet1!$A$2:$D$185, 4, FALSE)</f>
        <v>26</v>
      </c>
    </row>
    <row r="9" spans="1:6" x14ac:dyDescent="0.35">
      <c r="A9" s="3" t="s">
        <v>29</v>
      </c>
      <c r="B9" s="4"/>
      <c r="C9" s="4">
        <v>2</v>
      </c>
      <c r="D9" s="4">
        <v>2</v>
      </c>
      <c r="E9">
        <f t="shared" si="0"/>
        <v>2</v>
      </c>
      <c r="F9">
        <f>VLOOKUP(A9, [1]Sheet1!$A$2:$D$185, 4, FALSE)</f>
        <v>45</v>
      </c>
    </row>
    <row r="10" spans="1:6" x14ac:dyDescent="0.35">
      <c r="A10" s="3" t="s">
        <v>41</v>
      </c>
      <c r="B10" s="4"/>
      <c r="C10" s="4">
        <v>29.28</v>
      </c>
      <c r="D10" s="4">
        <v>29.28</v>
      </c>
      <c r="E10">
        <f t="shared" si="0"/>
        <v>29.28</v>
      </c>
      <c r="F10">
        <f>VLOOKUP(A10, [1]Sheet1!$A$2:$D$185, 4, FALSE)</f>
        <v>42</v>
      </c>
    </row>
    <row r="11" spans="1:6" x14ac:dyDescent="0.35">
      <c r="A11" s="3" t="s">
        <v>49</v>
      </c>
      <c r="B11" s="4"/>
      <c r="C11" s="4">
        <v>29.28</v>
      </c>
      <c r="D11" s="4">
        <v>29.28</v>
      </c>
      <c r="E11">
        <f t="shared" si="0"/>
        <v>29.28</v>
      </c>
      <c r="F11">
        <f>VLOOKUP(A11, [1]Sheet1!$A$2:$D$185, 4, FALSE)</f>
        <v>32</v>
      </c>
    </row>
    <row r="12" spans="1:6" x14ac:dyDescent="0.35">
      <c r="A12" s="3" t="s">
        <v>51</v>
      </c>
      <c r="B12" s="4"/>
      <c r="C12" s="4">
        <v>26.07</v>
      </c>
      <c r="D12" s="4">
        <v>26.07</v>
      </c>
      <c r="E12">
        <f t="shared" si="0"/>
        <v>26.07</v>
      </c>
      <c r="F12">
        <f>VLOOKUP(A12, [1]Sheet1!$A$2:$D$185, 4, FALSE)</f>
        <v>27</v>
      </c>
    </row>
    <row r="13" spans="1:6" x14ac:dyDescent="0.35">
      <c r="A13" s="3" t="s">
        <v>59</v>
      </c>
      <c r="B13" s="4"/>
      <c r="C13" s="4">
        <v>27.91</v>
      </c>
      <c r="D13" s="4">
        <v>27.91</v>
      </c>
      <c r="E13">
        <f t="shared" si="0"/>
        <v>27.91</v>
      </c>
      <c r="F13">
        <f>VLOOKUP(A13, [1]Sheet1!$A$2:$D$185, 4, FALSE)</f>
        <v>34</v>
      </c>
    </row>
    <row r="14" spans="1:6" x14ac:dyDescent="0.35">
      <c r="A14" s="3" t="s">
        <v>53</v>
      </c>
      <c r="B14" s="4"/>
      <c r="C14" s="4">
        <v>59.09</v>
      </c>
      <c r="D14" s="4">
        <v>59.09</v>
      </c>
      <c r="E14">
        <f t="shared" si="0"/>
        <v>59.09</v>
      </c>
      <c r="F14">
        <f>VLOOKUP(A14, [1]Sheet1!$A$2:$D$185, 4, FALSE)</f>
        <v>37</v>
      </c>
    </row>
    <row r="15" spans="1:6" x14ac:dyDescent="0.35">
      <c r="A15" s="3" t="s">
        <v>57</v>
      </c>
      <c r="B15" s="4"/>
      <c r="C15" s="4">
        <v>28.94</v>
      </c>
      <c r="D15" s="4">
        <v>28.94</v>
      </c>
      <c r="E15">
        <f t="shared" si="0"/>
        <v>28.94</v>
      </c>
      <c r="F15">
        <f>VLOOKUP(A15, [1]Sheet1!$A$2:$D$185, 4, FALSE)</f>
        <v>25</v>
      </c>
    </row>
    <row r="16" spans="1:6" x14ac:dyDescent="0.35">
      <c r="A16" s="3" t="s">
        <v>61</v>
      </c>
      <c r="B16" s="4"/>
      <c r="C16" s="4">
        <v>5.71</v>
      </c>
      <c r="D16" s="4">
        <v>5.71</v>
      </c>
      <c r="E16">
        <f t="shared" si="0"/>
        <v>5.71</v>
      </c>
      <c r="F16">
        <f>VLOOKUP(A16, [1]Sheet1!$A$2:$D$185, 4, FALSE)</f>
        <v>49</v>
      </c>
    </row>
    <row r="17" spans="1:6" x14ac:dyDescent="0.35">
      <c r="A17" s="3" t="s">
        <v>63</v>
      </c>
      <c r="B17" s="4"/>
      <c r="C17" s="4">
        <v>32.26</v>
      </c>
      <c r="D17" s="4">
        <v>32.26</v>
      </c>
      <c r="E17">
        <f t="shared" si="0"/>
        <v>32.26</v>
      </c>
      <c r="F17">
        <f>VLOOKUP(A17, [1]Sheet1!$A$2:$D$185, 4, FALSE)</f>
        <v>26</v>
      </c>
    </row>
    <row r="18" spans="1:6" x14ac:dyDescent="0.35">
      <c r="A18" s="3" t="s">
        <v>71</v>
      </c>
      <c r="B18" s="4"/>
      <c r="C18" s="4">
        <v>18.57</v>
      </c>
      <c r="D18" s="4">
        <v>18.57</v>
      </c>
      <c r="E18">
        <f t="shared" si="0"/>
        <v>18.57</v>
      </c>
      <c r="F18">
        <f>VLOOKUP(A18, [1]Sheet1!$A$2:$D$185, 4, FALSE)</f>
        <v>57</v>
      </c>
    </row>
    <row r="19" spans="1:6" x14ac:dyDescent="0.35">
      <c r="A19" s="3" t="s">
        <v>73</v>
      </c>
      <c r="B19" s="4"/>
      <c r="C19" s="4">
        <v>36.67</v>
      </c>
      <c r="D19" s="4">
        <v>36.67</v>
      </c>
      <c r="E19">
        <f t="shared" si="0"/>
        <v>36.67</v>
      </c>
      <c r="F19">
        <f>VLOOKUP(A19, [1]Sheet1!$A$2:$D$185, 4, FALSE)</f>
        <v>33</v>
      </c>
    </row>
    <row r="20" spans="1:6" x14ac:dyDescent="0.35">
      <c r="A20" s="3" t="s">
        <v>85</v>
      </c>
      <c r="B20" s="4"/>
      <c r="C20" s="4">
        <v>47.83</v>
      </c>
      <c r="D20" s="4">
        <v>47.83</v>
      </c>
      <c r="E20">
        <f t="shared" si="0"/>
        <v>47.83</v>
      </c>
      <c r="F20">
        <f>VLOOKUP(A20, [1]Sheet1!$A$2:$D$185, 4, FALSE)</f>
        <v>41</v>
      </c>
    </row>
    <row r="21" spans="1:6" x14ac:dyDescent="0.35">
      <c r="A21" s="3" t="s">
        <v>77</v>
      </c>
      <c r="B21" s="4"/>
      <c r="C21" s="4">
        <v>12.29</v>
      </c>
      <c r="D21" s="4">
        <v>12.29</v>
      </c>
      <c r="E21">
        <f t="shared" si="0"/>
        <v>12.29</v>
      </c>
      <c r="F21">
        <f>VLOOKUP(A21, [1]Sheet1!$A$2:$D$185, 4, FALSE)</f>
        <v>32</v>
      </c>
    </row>
    <row r="22" spans="1:6" x14ac:dyDescent="0.35">
      <c r="A22" s="3" t="s">
        <v>79</v>
      </c>
      <c r="B22" s="4"/>
      <c r="C22" s="4">
        <v>41.43</v>
      </c>
      <c r="D22" s="4">
        <v>41.43</v>
      </c>
      <c r="E22">
        <f t="shared" si="0"/>
        <v>41.43</v>
      </c>
      <c r="F22">
        <f>VLOOKUP(A22, [1]Sheet1!$A$2:$D$185, 4, FALSE)</f>
        <v>39</v>
      </c>
    </row>
    <row r="23" spans="1:6" x14ac:dyDescent="0.35">
      <c r="A23" s="3" t="s">
        <v>81</v>
      </c>
      <c r="B23" s="4"/>
      <c r="C23" s="4">
        <v>41.31</v>
      </c>
      <c r="D23" s="4">
        <v>41.31</v>
      </c>
      <c r="E23">
        <f t="shared" si="0"/>
        <v>41.31</v>
      </c>
      <c r="F23">
        <f>VLOOKUP(A23, [1]Sheet1!$A$2:$D$185, 4, FALSE)</f>
        <v>26</v>
      </c>
    </row>
    <row r="24" spans="1:6" x14ac:dyDescent="0.35">
      <c r="A24" s="2" t="s">
        <v>14</v>
      </c>
      <c r="B24" s="4">
        <v>32.898000000000003</v>
      </c>
      <c r="C24" s="4">
        <v>63.209999999999994</v>
      </c>
      <c r="D24" s="4">
        <v>56.320909090909097</v>
      </c>
      <c r="E24">
        <f t="shared" si="0"/>
        <v>48.054000000000002</v>
      </c>
      <c r="F24" t="e">
        <f>VLOOKUP(A24, [1]Sheet1!$A$2:$D$185, 4, FALSE)</f>
        <v>#N/A</v>
      </c>
    </row>
    <row r="25" spans="1:6" x14ac:dyDescent="0.35">
      <c r="A25" s="3" t="s">
        <v>13</v>
      </c>
      <c r="B25" s="4"/>
      <c r="C25" s="4">
        <v>74.97</v>
      </c>
      <c r="D25" s="4">
        <v>74.97</v>
      </c>
      <c r="E25">
        <f t="shared" si="0"/>
        <v>74.97</v>
      </c>
      <c r="F25">
        <f>VLOOKUP(A25, [1]Sheet1!$A$2:$D$185, 4, FALSE)</f>
        <v>37</v>
      </c>
    </row>
    <row r="26" spans="1:6" x14ac:dyDescent="0.35">
      <c r="A26" s="3" t="s">
        <v>20</v>
      </c>
      <c r="B26" s="4"/>
      <c r="C26" s="4">
        <v>27.63</v>
      </c>
      <c r="D26" s="4">
        <v>27.63</v>
      </c>
      <c r="E26">
        <f t="shared" si="0"/>
        <v>27.63</v>
      </c>
      <c r="F26">
        <v>28</v>
      </c>
    </row>
    <row r="27" spans="1:6" x14ac:dyDescent="0.35">
      <c r="A27" s="3" t="s">
        <v>22</v>
      </c>
      <c r="B27" s="4">
        <v>14.78</v>
      </c>
      <c r="C27" s="4">
        <v>88.74</v>
      </c>
      <c r="D27" s="4">
        <v>51.76</v>
      </c>
      <c r="E27">
        <f t="shared" si="0"/>
        <v>51.76</v>
      </c>
      <c r="F27">
        <f>VLOOKUP(A27, [1]Sheet1!$A$2:$D$185, 4, FALSE)</f>
        <v>34</v>
      </c>
    </row>
    <row r="28" spans="1:6" x14ac:dyDescent="0.35">
      <c r="A28" s="3" t="s">
        <v>27</v>
      </c>
      <c r="B28" s="4">
        <v>88.63</v>
      </c>
      <c r="C28" s="4">
        <v>76.599999999999994</v>
      </c>
      <c r="D28" s="4">
        <v>82.614999999999995</v>
      </c>
      <c r="E28">
        <f t="shared" si="0"/>
        <v>82.614999999999995</v>
      </c>
      <c r="F28">
        <f>VLOOKUP(A28, [1]Sheet1!$A$2:$D$185, 4, FALSE)</f>
        <v>63</v>
      </c>
    </row>
    <row r="29" spans="1:6" x14ac:dyDescent="0.35">
      <c r="A29" s="3" t="s">
        <v>33</v>
      </c>
      <c r="B29" s="4">
        <v>26.46</v>
      </c>
      <c r="C29" s="4">
        <v>64.900000000000006</v>
      </c>
      <c r="D29" s="4">
        <v>45.680000000000007</v>
      </c>
      <c r="E29">
        <f t="shared" si="0"/>
        <v>45.680000000000007</v>
      </c>
      <c r="F29">
        <f>VLOOKUP(A29, [1]Sheet1!$A$2:$D$185, 4, FALSE)</f>
        <v>39</v>
      </c>
    </row>
    <row r="30" spans="1:6" x14ac:dyDescent="0.35">
      <c r="A30" s="3" t="s">
        <v>35</v>
      </c>
      <c r="B30" s="4">
        <v>3.77</v>
      </c>
      <c r="C30" s="4">
        <v>65.45</v>
      </c>
      <c r="D30" s="4">
        <v>34.61</v>
      </c>
      <c r="E30">
        <f t="shared" si="0"/>
        <v>34.61</v>
      </c>
      <c r="F30">
        <f>VLOOKUP(A30, [1]Sheet1!$A$2:$D$185, 4, FALSE)</f>
        <v>58</v>
      </c>
    </row>
    <row r="31" spans="1:6" x14ac:dyDescent="0.35">
      <c r="A31" s="3" t="s">
        <v>37</v>
      </c>
      <c r="B31" s="4"/>
      <c r="C31" s="4">
        <v>64.010000000000005</v>
      </c>
      <c r="D31" s="4">
        <v>64.010000000000005</v>
      </c>
      <c r="E31">
        <f t="shared" si="0"/>
        <v>64.010000000000005</v>
      </c>
      <c r="F31">
        <f>VLOOKUP(A31, [1]Sheet1!$A$2:$D$185, 4, FALSE)</f>
        <v>36</v>
      </c>
    </row>
    <row r="32" spans="1:6" x14ac:dyDescent="0.35">
      <c r="A32" s="3" t="s">
        <v>39</v>
      </c>
      <c r="B32" s="4"/>
      <c r="C32" s="4">
        <v>53.94</v>
      </c>
      <c r="D32" s="4">
        <v>53.94</v>
      </c>
      <c r="E32">
        <f t="shared" si="0"/>
        <v>53.94</v>
      </c>
      <c r="F32">
        <f>VLOOKUP(A32, [1]Sheet1!$A$2:$D$185, 4, FALSE)</f>
        <v>32</v>
      </c>
    </row>
    <row r="33" spans="1:6" x14ac:dyDescent="0.35">
      <c r="A33" s="3" t="s">
        <v>75</v>
      </c>
      <c r="B33" s="4"/>
      <c r="C33" s="4">
        <v>27.24</v>
      </c>
      <c r="D33" s="4">
        <v>27.24</v>
      </c>
      <c r="E33">
        <f t="shared" si="0"/>
        <v>27.24</v>
      </c>
      <c r="F33">
        <f>VLOOKUP(A33, [1]Sheet1!$A$2:$D$185, 4, FALSE)</f>
        <v>30</v>
      </c>
    </row>
    <row r="34" spans="1:6" x14ac:dyDescent="0.35">
      <c r="A34" s="3" t="s">
        <v>43</v>
      </c>
      <c r="B34" s="4"/>
      <c r="C34" s="4">
        <v>76.95</v>
      </c>
      <c r="D34" s="4">
        <v>76.95</v>
      </c>
      <c r="E34">
        <f t="shared" si="0"/>
        <v>76.95</v>
      </c>
      <c r="F34">
        <f>VLOOKUP(A34, [1]Sheet1!$A$2:$D$185, 4, FALSE)</f>
        <v>25</v>
      </c>
    </row>
    <row r="35" spans="1:6" x14ac:dyDescent="0.35">
      <c r="A35" s="3" t="s">
        <v>45</v>
      </c>
      <c r="B35" s="4"/>
      <c r="C35" s="4">
        <v>64.59</v>
      </c>
      <c r="D35" s="4">
        <v>64.59</v>
      </c>
      <c r="E35">
        <f t="shared" si="0"/>
        <v>64.59</v>
      </c>
      <c r="F35">
        <f>VLOOKUP(A35, [1]Sheet1!$A$2:$D$185, 4, FALSE)</f>
        <v>22</v>
      </c>
    </row>
    <row r="36" spans="1:6" x14ac:dyDescent="0.35">
      <c r="A36" s="3" t="s">
        <v>47</v>
      </c>
      <c r="B36" s="4"/>
      <c r="C36" s="4">
        <v>52.07</v>
      </c>
      <c r="D36" s="4">
        <v>52.07</v>
      </c>
      <c r="E36">
        <f t="shared" si="0"/>
        <v>52.07</v>
      </c>
      <c r="F36">
        <f>VLOOKUP(A36, [1]Sheet1!$A$2:$D$185, 4, FALSE)</f>
        <v>44</v>
      </c>
    </row>
    <row r="37" spans="1:6" x14ac:dyDescent="0.35">
      <c r="A37" s="3" t="s">
        <v>55</v>
      </c>
      <c r="B37" s="4">
        <v>30.85</v>
      </c>
      <c r="C37" s="4">
        <v>61.91</v>
      </c>
      <c r="D37" s="4">
        <v>46.379999999999995</v>
      </c>
      <c r="E37">
        <f t="shared" si="0"/>
        <v>46.379999999999995</v>
      </c>
      <c r="F37">
        <f>VLOOKUP(A37, [1]Sheet1!$A$2:$D$185, 4, FALSE)</f>
        <v>26</v>
      </c>
    </row>
    <row r="38" spans="1:6" x14ac:dyDescent="0.35">
      <c r="A38" s="3" t="s">
        <v>65</v>
      </c>
      <c r="B38" s="4"/>
      <c r="C38" s="4">
        <v>59.53</v>
      </c>
      <c r="D38" s="4">
        <v>59.53</v>
      </c>
      <c r="E38">
        <f t="shared" si="0"/>
        <v>59.53</v>
      </c>
      <c r="F38">
        <f>VLOOKUP(A38, [1]Sheet1!$A$2:$D$185, 4, FALSE)</f>
        <v>33</v>
      </c>
    </row>
    <row r="39" spans="1:6" x14ac:dyDescent="0.35">
      <c r="A39" s="3" t="s">
        <v>69</v>
      </c>
      <c r="B39" s="4"/>
      <c r="C39" s="4">
        <v>70.17</v>
      </c>
      <c r="D39" s="4">
        <v>70.17</v>
      </c>
      <c r="E39">
        <f t="shared" si="0"/>
        <v>70.17</v>
      </c>
      <c r="F39">
        <f>VLOOKUP(A39, [1]Sheet1!$A$2:$D$185, 4, FALSE)</f>
        <v>24</v>
      </c>
    </row>
    <row r="40" spans="1:6" x14ac:dyDescent="0.35">
      <c r="A40" s="3" t="s">
        <v>67</v>
      </c>
      <c r="B40" s="4"/>
      <c r="C40" s="4">
        <v>78.56</v>
      </c>
      <c r="D40" s="4">
        <v>78.56</v>
      </c>
      <c r="E40">
        <f t="shared" si="0"/>
        <v>78.56</v>
      </c>
      <c r="F40">
        <f>VLOOKUP(A40, [1]Sheet1!$A$2:$D$185, 4, FALSE)</f>
        <v>31</v>
      </c>
    </row>
    <row r="41" spans="1:6" x14ac:dyDescent="0.35">
      <c r="A41" s="3" t="s">
        <v>83</v>
      </c>
      <c r="B41" s="4"/>
      <c r="C41" s="4">
        <v>67.31</v>
      </c>
      <c r="D41" s="4">
        <v>67.31</v>
      </c>
      <c r="E41">
        <f t="shared" si="0"/>
        <v>67.31</v>
      </c>
      <c r="F41">
        <f>VLOOKUP(A41, [1]Sheet1!$A$2:$D$185, 4, FALSE)</f>
        <v>76</v>
      </c>
    </row>
    <row r="42" spans="1:6" x14ac:dyDescent="0.35">
      <c r="A42" s="2" t="s">
        <v>87</v>
      </c>
      <c r="B42" s="4">
        <v>32.898000000000003</v>
      </c>
      <c r="C42" s="4">
        <v>42.807027027027026</v>
      </c>
      <c r="D42" s="4">
        <v>41.627380952380953</v>
      </c>
      <c r="E42">
        <f t="shared" si="0"/>
        <v>37.852513513513514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Sheet3</vt:lpstr>
      <vt:lpstr>gdb-2024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shadrack kirui</dc:creator>
  <cp:lastModifiedBy>shadrack kirui</cp:lastModifiedBy>
  <dcterms:created xsi:type="dcterms:W3CDTF">2025-07-15T11:29:17Z</dcterms:created>
  <dcterms:modified xsi:type="dcterms:W3CDTF">2025-07-15T12:33:03Z</dcterms:modified>
</cp:coreProperties>
</file>